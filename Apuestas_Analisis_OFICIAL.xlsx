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\Music\"/>
    </mc:Choice>
  </mc:AlternateContent>
  <xr:revisionPtr revIDLastSave="0" documentId="13_ncr:1_{3D4E903A-3C80-44C6-94D9-9984DF15F1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3 (3)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0" i="7" l="1"/>
  <c r="D141" i="7"/>
  <c r="G141" i="7" s="1"/>
  <c r="D143" i="7"/>
  <c r="D144" i="7"/>
  <c r="G144" i="7" s="1"/>
  <c r="D142" i="7"/>
  <c r="G142" i="7" s="1"/>
  <c r="D116" i="7"/>
  <c r="G116" i="7" s="1"/>
  <c r="D117" i="7"/>
  <c r="G117" i="7" s="1"/>
  <c r="D118" i="7"/>
  <c r="G118" i="7" s="1"/>
  <c r="D119" i="7"/>
  <c r="G119" i="7" s="1"/>
  <c r="D120" i="7"/>
  <c r="G120" i="7" s="1"/>
  <c r="D94" i="7"/>
  <c r="G94" i="7" s="1"/>
  <c r="D95" i="7"/>
  <c r="G95" i="7" s="1"/>
  <c r="D96" i="7"/>
  <c r="G96" i="7" s="1"/>
  <c r="D97" i="7"/>
  <c r="G97" i="7" s="1"/>
  <c r="D98" i="7"/>
  <c r="G98" i="7" s="1"/>
  <c r="K153" i="7"/>
  <c r="B150" i="7"/>
  <c r="G143" i="7"/>
  <c r="M142" i="7"/>
  <c r="P142" i="7" s="1"/>
  <c r="M141" i="7"/>
  <c r="P141" i="7" s="1"/>
  <c r="M140" i="7"/>
  <c r="P140" i="7" s="1"/>
  <c r="G140" i="7"/>
  <c r="M139" i="7"/>
  <c r="P139" i="7" s="1"/>
  <c r="D139" i="7"/>
  <c r="G139" i="7" s="1"/>
  <c r="M138" i="7"/>
  <c r="P138" i="7" s="1"/>
  <c r="D138" i="7"/>
  <c r="G138" i="7" s="1"/>
  <c r="M137" i="7"/>
  <c r="P137" i="7" s="1"/>
  <c r="D137" i="7"/>
  <c r="G137" i="7" s="1"/>
  <c r="M136" i="7"/>
  <c r="P136" i="7" s="1"/>
  <c r="D136" i="7"/>
  <c r="G136" i="7" s="1"/>
  <c r="M135" i="7"/>
  <c r="P135" i="7" s="1"/>
  <c r="D135" i="7"/>
  <c r="G135" i="7" s="1"/>
  <c r="M134" i="7"/>
  <c r="P134" i="7" s="1"/>
  <c r="M133" i="7"/>
  <c r="P133" i="7" s="1"/>
  <c r="B126" i="7"/>
  <c r="K119" i="7"/>
  <c r="M115" i="7"/>
  <c r="P115" i="7" s="1"/>
  <c r="D115" i="7"/>
  <c r="G115" i="7" s="1"/>
  <c r="M114" i="7"/>
  <c r="P114" i="7" s="1"/>
  <c r="D114" i="7"/>
  <c r="G114" i="7" s="1"/>
  <c r="M113" i="7"/>
  <c r="P113" i="7" s="1"/>
  <c r="D113" i="7"/>
  <c r="G113" i="7" s="1"/>
  <c r="M112" i="7"/>
  <c r="P112" i="7" s="1"/>
  <c r="D112" i="7"/>
  <c r="G112" i="7" s="1"/>
  <c r="M111" i="7"/>
  <c r="P111" i="7" s="1"/>
  <c r="D111" i="7"/>
  <c r="G111" i="7" s="1"/>
  <c r="M110" i="7"/>
  <c r="P110" i="7" s="1"/>
  <c r="M109" i="7"/>
  <c r="P109" i="7" s="1"/>
  <c r="M108" i="7"/>
  <c r="P108" i="7" s="1"/>
  <c r="M107" i="7"/>
  <c r="P107" i="7" s="1"/>
  <c r="M106" i="7"/>
  <c r="P106" i="7" s="1"/>
  <c r="B101" i="7"/>
  <c r="D93" i="7"/>
  <c r="G93" i="7" s="1"/>
  <c r="K92" i="7"/>
  <c r="D92" i="7"/>
  <c r="G92" i="7" s="1"/>
  <c r="D91" i="7"/>
  <c r="G91" i="7" s="1"/>
  <c r="D90" i="7"/>
  <c r="G90" i="7" s="1"/>
  <c r="M89" i="7"/>
  <c r="P89" i="7" s="1"/>
  <c r="D89" i="7"/>
  <c r="G89" i="7" s="1"/>
  <c r="M88" i="7"/>
  <c r="P88" i="7" s="1"/>
  <c r="M87" i="7"/>
  <c r="P87" i="7" s="1"/>
  <c r="M86" i="7"/>
  <c r="P86" i="7" s="1"/>
  <c r="M85" i="7"/>
  <c r="P85" i="7" s="1"/>
  <c r="M84" i="7"/>
  <c r="P84" i="7" s="1"/>
  <c r="M83" i="7"/>
  <c r="P83" i="7" s="1"/>
  <c r="M82" i="7"/>
  <c r="P82" i="7" s="1"/>
  <c r="M81" i="7"/>
  <c r="P81" i="7" s="1"/>
  <c r="B81" i="7"/>
  <c r="M80" i="7"/>
  <c r="P80" i="7" s="1"/>
  <c r="B80" i="7"/>
  <c r="D78" i="7"/>
  <c r="G78" i="7" s="1"/>
  <c r="D77" i="7"/>
  <c r="G77" i="7" s="1"/>
  <c r="D76" i="7"/>
  <c r="G76" i="7" s="1"/>
  <c r="D75" i="7"/>
  <c r="G75" i="7" s="1"/>
  <c r="D74" i="7"/>
  <c r="G74" i="7" s="1"/>
  <c r="D73" i="7"/>
  <c r="G73" i="7" s="1"/>
  <c r="D72" i="7"/>
  <c r="G72" i="7" s="1"/>
  <c r="D71" i="7"/>
  <c r="G71" i="7" s="1"/>
  <c r="K70" i="7"/>
  <c r="D70" i="7"/>
  <c r="G70" i="7" s="1"/>
  <c r="K69" i="7"/>
  <c r="D69" i="7"/>
  <c r="G69" i="7" s="1"/>
  <c r="M65" i="7"/>
  <c r="P65" i="7" s="1"/>
  <c r="M64" i="7"/>
  <c r="P64" i="7" s="1"/>
  <c r="M63" i="7"/>
  <c r="P63" i="7" s="1"/>
  <c r="M62" i="7"/>
  <c r="P62" i="7" s="1"/>
  <c r="M61" i="7"/>
  <c r="P61" i="7" s="1"/>
  <c r="M60" i="7"/>
  <c r="P60" i="7" s="1"/>
  <c r="M59" i="7"/>
  <c r="P59" i="7" s="1"/>
  <c r="M58" i="7"/>
  <c r="P58" i="7" s="1"/>
  <c r="M57" i="7"/>
  <c r="P57" i="7" s="1"/>
  <c r="M56" i="7"/>
  <c r="P56" i="7" s="1"/>
  <c r="H52" i="7"/>
  <c r="H51" i="7"/>
  <c r="H50" i="7"/>
  <c r="H49" i="7"/>
  <c r="I42" i="7"/>
  <c r="I41" i="7"/>
  <c r="I40" i="7"/>
  <c r="I39" i="7"/>
  <c r="H27" i="7"/>
  <c r="I16" i="7" s="1"/>
  <c r="H26" i="7"/>
  <c r="I15" i="7" s="1"/>
  <c r="H25" i="7"/>
  <c r="I14" i="7" s="1"/>
  <c r="H24" i="7"/>
  <c r="I13" i="7" s="1"/>
  <c r="N23" i="7"/>
  <c r="N24" i="7" s="1"/>
  <c r="C23" i="7"/>
  <c r="C24" i="7" s="1"/>
  <c r="N21" i="7"/>
  <c r="N22" i="7" s="1"/>
  <c r="C21" i="7"/>
  <c r="C22" i="7" s="1"/>
  <c r="N19" i="7"/>
  <c r="N20" i="7" s="1"/>
  <c r="C19" i="7"/>
  <c r="C20" i="7" s="1"/>
  <c r="N14" i="7"/>
  <c r="C14" i="7"/>
  <c r="N12" i="7"/>
  <c r="N16" i="7" s="1"/>
  <c r="C12" i="7"/>
  <c r="C16" i="7" s="1"/>
  <c r="N11" i="7"/>
  <c r="N15" i="7" s="1"/>
  <c r="C11" i="7"/>
  <c r="C15" i="7" s="1"/>
  <c r="O144" i="7" l="1"/>
  <c r="O145" i="7" s="1"/>
  <c r="O146" i="7" s="1"/>
  <c r="O149" i="7" s="1"/>
  <c r="O117" i="7"/>
  <c r="O118" i="7" s="1"/>
  <c r="O119" i="7" s="1"/>
  <c r="O122" i="7" s="1"/>
  <c r="F122" i="7"/>
  <c r="F123" i="7" s="1"/>
  <c r="F125" i="7" s="1"/>
  <c r="F79" i="7"/>
  <c r="F80" i="7" s="1"/>
  <c r="F81" i="7" s="1"/>
  <c r="F84" i="7" s="1"/>
  <c r="C17" i="7"/>
  <c r="C18" i="7" s="1"/>
  <c r="C34" i="7"/>
  <c r="O91" i="7"/>
  <c r="O92" i="7" s="1"/>
  <c r="C52" i="7"/>
  <c r="C46" i="7"/>
  <c r="C28" i="7"/>
  <c r="N17" i="7"/>
  <c r="N18" i="7" s="1"/>
  <c r="C49" i="7"/>
  <c r="O67" i="7"/>
  <c r="O68" i="7" s="1"/>
  <c r="C55" i="7"/>
  <c r="C37" i="7"/>
  <c r="F100" i="7"/>
  <c r="F101" i="7" s="1"/>
  <c r="F146" i="7"/>
  <c r="F147" i="7" s="1"/>
  <c r="C31" i="7"/>
  <c r="O147" i="7" l="1"/>
  <c r="O120" i="7"/>
  <c r="F124" i="7"/>
  <c r="C53" i="7" s="1"/>
  <c r="C54" i="7" s="1"/>
  <c r="H41" i="7" s="1"/>
  <c r="J41" i="7" s="1"/>
  <c r="K41" i="7" s="1"/>
  <c r="F82" i="7"/>
  <c r="F149" i="7"/>
  <c r="F148" i="7"/>
  <c r="F103" i="7"/>
  <c r="F102" i="7"/>
  <c r="O70" i="7"/>
  <c r="O69" i="7"/>
  <c r="O72" i="7" s="1"/>
  <c r="O93" i="7"/>
  <c r="O96" i="7" s="1"/>
  <c r="O94" i="7"/>
  <c r="C47" i="7" l="1"/>
  <c r="C48" i="7" s="1"/>
  <c r="H39" i="7" s="1"/>
  <c r="J39" i="7" s="1"/>
  <c r="K39" i="7" s="1"/>
  <c r="C35" i="7"/>
  <c r="F127" i="7"/>
  <c r="C29" i="7"/>
  <c r="C56" i="7"/>
  <c r="C57" i="7" s="1"/>
  <c r="H42" i="7" s="1"/>
  <c r="J42" i="7" s="1"/>
  <c r="K42" i="7" s="1"/>
  <c r="C38" i="7"/>
  <c r="C39" i="7" s="1"/>
  <c r="H16" i="7" s="1"/>
  <c r="F151" i="7"/>
  <c r="F105" i="7"/>
  <c r="C50" i="7"/>
  <c r="C51" i="7" s="1"/>
  <c r="H40" i="7" s="1"/>
  <c r="J40" i="7" s="1"/>
  <c r="K40" i="7" s="1"/>
  <c r="C32" i="7"/>
  <c r="C33" i="7" l="1"/>
  <c r="H14" i="7" s="1"/>
  <c r="J14" i="7" s="1"/>
  <c r="K14" i="7" s="1"/>
  <c r="C30" i="7"/>
  <c r="H13" i="7" s="1"/>
  <c r="J13" i="7" s="1"/>
  <c r="K13" i="7" s="1"/>
  <c r="C36" i="7"/>
  <c r="H15" i="7" s="1"/>
  <c r="J15" i="7" s="1"/>
  <c r="K15" i="7" s="1"/>
  <c r="J16" i="7"/>
  <c r="K16" i="7" s="1"/>
</calcChain>
</file>

<file path=xl/sharedStrings.xml><?xml version="1.0" encoding="utf-8"?>
<sst xmlns="http://schemas.openxmlformats.org/spreadsheetml/2006/main" count="390" uniqueCount="113">
  <si>
    <t>Fecha</t>
  </si>
  <si>
    <t>Equipo Local</t>
  </si>
  <si>
    <t>Equipo Visitante</t>
  </si>
  <si>
    <t>Datos del equipo en 10 ultimos encuentros en casa</t>
  </si>
  <si>
    <t>Datos</t>
  </si>
  <si>
    <t>Datos del equipo en 10 ultimos encuentros fuera de casa</t>
  </si>
  <si>
    <t>Ganados</t>
  </si>
  <si>
    <t>%</t>
  </si>
  <si>
    <t>Promedio combinado de corners</t>
  </si>
  <si>
    <t>Promedio combinado de goles</t>
  </si>
  <si>
    <t>barcelona</t>
  </si>
  <si>
    <t>Media</t>
  </si>
  <si>
    <t>Desviaciones de cada valor</t>
  </si>
  <si>
    <t>Suma de las variaciones cuadradas</t>
  </si>
  <si>
    <t>Raiz de la varianza</t>
  </si>
  <si>
    <t>Desviacion estandar aprox</t>
  </si>
  <si>
    <t>GOLES</t>
  </si>
  <si>
    <t>Desviacion estandar combinada de corners</t>
  </si>
  <si>
    <t>Desviacion estandar combinada de goles</t>
  </si>
  <si>
    <t>Lyon</t>
  </si>
  <si>
    <t>Local</t>
  </si>
  <si>
    <t>Visitante</t>
  </si>
  <si>
    <t>Tabla de Probabilidades reales</t>
  </si>
  <si>
    <t>N° de juegos</t>
  </si>
  <si>
    <t xml:space="preserve">N° de goles a favor </t>
  </si>
  <si>
    <t>N° de goles a favor</t>
  </si>
  <si>
    <t>N° de goles en contra</t>
  </si>
  <si>
    <t>Partido</t>
  </si>
  <si>
    <t>Mercado</t>
  </si>
  <si>
    <t>Probabilidad real (%)</t>
  </si>
  <si>
    <t>Probabilidad Implicita (%)</t>
  </si>
  <si>
    <t>Diferencia (%)</t>
  </si>
  <si>
    <t>Valor</t>
  </si>
  <si>
    <t xml:space="preserve">N° de goles en contra </t>
  </si>
  <si>
    <t>Hoffenheim vs Tottenham</t>
  </si>
  <si>
    <t>Más de 2.5 Goles</t>
  </si>
  <si>
    <t>Rendimiento reciente (%)</t>
  </si>
  <si>
    <t>Más de 10.5 Córners</t>
  </si>
  <si>
    <t xml:space="preserve">Rendimiento reciente </t>
  </si>
  <si>
    <t xml:space="preserve">Promedio de goles a favor </t>
  </si>
  <si>
    <t>Mas de 24.5 remates totales</t>
  </si>
  <si>
    <t>Promedio de goles a favor</t>
  </si>
  <si>
    <t xml:space="preserve">Promedio de goles en contra </t>
  </si>
  <si>
    <t>Más de 3.5 total de tarjetas</t>
  </si>
  <si>
    <t>Promedio de goles en contra</t>
  </si>
  <si>
    <t>Probabilidad de victoria (%)</t>
  </si>
  <si>
    <t xml:space="preserve">Probabilidad de victoria </t>
  </si>
  <si>
    <t>Probabilidad de victoria decimal</t>
  </si>
  <si>
    <t xml:space="preserve">Corners </t>
  </si>
  <si>
    <t xml:space="preserve">Promedio de corners </t>
  </si>
  <si>
    <t>Promedio de corners</t>
  </si>
  <si>
    <t xml:space="preserve">Remates </t>
  </si>
  <si>
    <t>Betano</t>
  </si>
  <si>
    <t>Remates</t>
  </si>
  <si>
    <t>Promedio de remates</t>
  </si>
  <si>
    <t>tarjetas</t>
  </si>
  <si>
    <t>Cuota</t>
  </si>
  <si>
    <t>Porcentaje (%)</t>
  </si>
  <si>
    <t>Promedio de tarjetas</t>
  </si>
  <si>
    <t>Más de 2.5</t>
  </si>
  <si>
    <t>Más de 2.5 goles (%)</t>
  </si>
  <si>
    <t>Más de 10.5 corners (extra)</t>
  </si>
  <si>
    <t>Promedio combinado de remates</t>
  </si>
  <si>
    <t>Desviacion estandar combinada de remates</t>
  </si>
  <si>
    <t>Promedio Combinado de tarjetas</t>
  </si>
  <si>
    <t>Desviacion estadnar combinada de tarjetas</t>
  </si>
  <si>
    <t>Mas de 3.5 total de tarjetas</t>
  </si>
  <si>
    <t>Equipo 1</t>
  </si>
  <si>
    <t>Equipo 2</t>
  </si>
  <si>
    <t>La Varianza</t>
  </si>
  <si>
    <t>Distribucion normal</t>
  </si>
  <si>
    <t>corners</t>
  </si>
  <si>
    <t>Corners</t>
  </si>
  <si>
    <t>tarjetas Amarillas y rojas</t>
  </si>
  <si>
    <t>1 roja en Galatasaray</t>
  </si>
  <si>
    <t>Volkswagen-Arena</t>
  </si>
  <si>
    <t>estoy por ver eso</t>
  </si>
  <si>
    <t>Formulas, si es mayor</t>
  </si>
  <si>
    <t>Menos de 2.5 goles</t>
  </si>
  <si>
    <t>Menos de 10.5 corners (extra)</t>
  </si>
  <si>
    <t>Menos de 24.5 remates totales</t>
  </si>
  <si>
    <t>Menos de 3.5 total de tarjetas</t>
  </si>
  <si>
    <t>Formula si es menor</t>
  </si>
  <si>
    <t>Menos de 2.5 goles (%)</t>
  </si>
  <si>
    <t>Menos : Holsein stadion</t>
  </si>
  <si>
    <t>a favor</t>
  </si>
  <si>
    <t>en contra</t>
  </si>
  <si>
    <t>remates</t>
  </si>
  <si>
    <t>roja para casa</t>
  </si>
  <si>
    <t>roja para visitante</t>
  </si>
  <si>
    <t>N° tarjetas</t>
  </si>
  <si>
    <t>Tarjetas</t>
  </si>
  <si>
    <t>Brest</t>
  </si>
  <si>
    <t>Real madrid</t>
  </si>
  <si>
    <t>rm</t>
  </si>
  <si>
    <t>Real Valladolid</t>
  </si>
  <si>
    <t>Mallorca</t>
  </si>
  <si>
    <t>Minera</t>
  </si>
  <si>
    <t>Valencia</t>
  </si>
  <si>
    <t>Pachuca</t>
  </si>
  <si>
    <t>Rayo Vallecano</t>
  </si>
  <si>
    <t>Atalanta</t>
  </si>
  <si>
    <t>Girona</t>
  </si>
  <si>
    <t>Athletic club</t>
  </si>
  <si>
    <t>Nantes</t>
  </si>
  <si>
    <t>Strasbourg</t>
  </si>
  <si>
    <t>Nice</t>
  </si>
  <si>
    <t>Rennes</t>
  </si>
  <si>
    <t>Le havre</t>
  </si>
  <si>
    <t>Toulouse</t>
  </si>
  <si>
    <t>Saint</t>
  </si>
  <si>
    <t>Marseille</t>
  </si>
  <si>
    <t>Reims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</si>
</sst>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5" borderId="0" xfId="0" applyFill="1"/>
    <xf numFmtId="0" fontId="1" fillId="3" borderId="1" xfId="0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center"/>
    </xf>
    <xf numFmtId="2" fontId="0" fillId="0" borderId="0" xfId="0" applyNumberFormat="1"/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2" fontId="0" fillId="7" borderId="0" xfId="0" applyNumberFormat="1" applyFill="1"/>
    <xf numFmtId="0" fontId="0" fillId="8" borderId="0" xfId="0" applyFill="1"/>
    <xf numFmtId="2" fontId="0" fillId="8" borderId="0" xfId="0" applyNumberFormat="1" applyFill="1"/>
    <xf numFmtId="0" fontId="0" fillId="2" borderId="0" xfId="0" applyFill="1"/>
    <xf numFmtId="2" fontId="0" fillId="2" borderId="0" xfId="0" applyNumberFormat="1" applyFill="1"/>
    <xf numFmtId="2" fontId="0" fillId="6" borderId="0" xfId="0" applyNumberFormat="1" applyFill="1"/>
  </cellXfs>
  <cellStyles count="1">
    <cellStyle name="Normal" xfId="0" builtinId="0"/>
  </cellStyles>
  <dxfs count="74"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FC26987-FF6E-442C-9CB1-968F48701DA4}" name="Tabla6634" displayName="Tabla6634" ref="F12:K16" totalsRowShown="0">
  <autoFilter ref="F12:K16" xr:uid="{D91BCEC7-2951-4D83-AFEA-A0DEE642C8E8}"/>
  <tableColumns count="6">
    <tableColumn id="1" xr3:uid="{CE3F2D80-4279-410B-A29E-5A8E511A168A}" name="Partido"/>
    <tableColumn id="2" xr3:uid="{A862B27E-2E9C-4C67-8F20-57CDF3AD2E14}" name="Mercado"/>
    <tableColumn id="3" xr3:uid="{004C0F4B-AF31-4787-9E78-9169CFB4A678}" name="Probabilidad real (%)" dataDxfId="73">
      <calculatedColumnFormula>(1- NORMDIST(2.5,C28,C29,TRUE))*100</calculatedColumnFormula>
    </tableColumn>
    <tableColumn id="4" xr3:uid="{36A1B4D2-A90D-4776-B636-B69D33297284}" name="Probabilidad Implicita (%)" dataDxfId="72">
      <calculatedColumnFormula>H24</calculatedColumnFormula>
    </tableColumn>
    <tableColumn id="5" xr3:uid="{1CB30C63-FF14-4A9B-9ADF-C194985C1214}" name="Diferencia (%)" dataDxfId="71">
      <calculatedColumnFormula>Tabla6634[[#This Row],[Probabilidad real (%)]]-Tabla6634[[#This Row],[Probabilidad Implicita (%)]]</calculatedColumnFormula>
    </tableColumn>
    <tableColumn id="6" xr3:uid="{A606CE1B-9F67-4D63-B0B2-13394E6478EF}" name="Valor" dataDxfId="70">
      <calculatedColumnFormula>IF(Tabla6634[[#This Row],[Diferencia (%)]] &gt; 0, "Hay valor", "No hay Valor rey")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164A4FF-E462-451E-BFF9-08AA0CDD0650}" name="Tabla71635" displayName="Tabla71635" ref="B9:C24" totalsRowShown="0">
  <autoFilter ref="B9:C24" xr:uid="{AF7D1D80-2B3C-4180-926D-98FD6AD8D85D}"/>
  <tableColumns count="2">
    <tableColumn id="1" xr3:uid="{D7DBA152-BBEB-4118-9234-08E23F87CB7E}" name="Datos del equipo en 10 ultimos encuentros en casa"/>
    <tableColumn id="2" xr3:uid="{39C3D436-96C5-4576-A37D-21DB049CDADE}" name="Dato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D0A2792-5CE1-4783-9D89-2F8DEFB6260F}" name="Tabla82236" displayName="Tabla82236" ref="M9:N24" totalsRowShown="0">
  <autoFilter ref="M9:N24" xr:uid="{B630D1C4-0DBC-4DBE-A891-2A223D5961B0}"/>
  <tableColumns count="2">
    <tableColumn id="1" xr3:uid="{C3A4E3B1-FAB1-42C6-8D43-F2BDCC6962F2}" name="Datos del equipo en 10 ultimos encuentros fuera de casa"/>
    <tableColumn id="2" xr3:uid="{F07B9981-8778-4D94-9199-4EF1B544517D}" name="Dato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38FC8E0-7F2A-4AB2-B951-5D8EB9ED9A18}" name="Tabla122337" displayName="Tabla122337" ref="B67:G78" totalsRowShown="0" headerRowDxfId="69" dataDxfId="68">
  <autoFilter ref="B67:G78" xr:uid="{40E33470-7C80-41D7-BE17-9711252406A9}"/>
  <tableColumns count="6">
    <tableColumn id="1" xr3:uid="{869D1A72-381E-4AEF-99BB-F6549AF3279C}" name="Equipo 1" dataDxfId="67"/>
    <tableColumn id="2" xr3:uid="{A4B29B60-2128-42E3-8410-7DEEA93D42F9}" name="Equipo 2" dataDxfId="66"/>
    <tableColumn id="3" xr3:uid="{A17BDBDA-9601-4E13-9790-39DDE801CC6B}" name="Media" dataDxfId="65"/>
    <tableColumn id="4" xr3:uid="{52B2FF72-7BE1-4A59-ADC9-B48C4F15B3CA}" name="Local" dataDxfId="64"/>
    <tableColumn id="5" xr3:uid="{55E1FA48-1E50-47B7-BC19-D7E22B8681A6}" name="Visitante" dataDxfId="63"/>
    <tableColumn id="6" xr3:uid="{E11F0289-79B9-4CB8-AE57-AE671A282F43}" name="Desviaciones de cada valor" dataDxfId="62">
      <calculatedColumnFormula>(E68-D68)^2</calculatedColumnFormula>
    </tableColumn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3B8CE98-B62A-4A2C-BA12-246BAE034F38}" name="Tabla132438" displayName="Tabla132438" ref="B87:G98" totalsRowShown="0" headerRowDxfId="61" dataDxfId="60">
  <autoFilter ref="B87:G98" xr:uid="{56123B53-0D72-4FDD-AF25-7ECC9E3CB701}"/>
  <tableColumns count="6">
    <tableColumn id="1" xr3:uid="{7B808641-EBFA-4D4A-BD7D-EA90A85BF922}" name="Equipo 1" dataDxfId="59"/>
    <tableColumn id="2" xr3:uid="{24247A55-FA0B-4E2C-B1DB-5F842ABC4FEC}" name="Equipo 2" dataDxfId="58"/>
    <tableColumn id="3" xr3:uid="{B2B596A5-BB57-4E46-918D-7B98F8CB30C6}" name="Media" dataDxfId="57"/>
    <tableColumn id="4" xr3:uid="{3A7FDA20-7805-4E03-AA4F-542F6DA35D29}" name="Local" dataDxfId="56"/>
    <tableColumn id="5" xr3:uid="{9617BE7D-C9E9-4863-AF48-4D0413564594}" name="Visitante" dataDxfId="55"/>
    <tableColumn id="6" xr3:uid="{799A1214-CC22-4DA2-93A8-8A74E880AF3F}" name="Desviaciones de cada valor" dataDxfId="54">
      <calculatedColumnFormula>(E88-D88)^2</calculatedColumnFormula>
    </tableColumn>
  </tableColumns>
  <tableStyleInfo name="TableStyleMedium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E3C845E-137E-45D5-9AC2-C49C99EAFCEE}" name="Tabla142539" displayName="Tabla142539" ref="F23:H27" totalsRowShown="0">
  <autoFilter ref="F23:H27" xr:uid="{7C1E1EF8-404E-45E2-9274-97F526221EF8}"/>
  <tableColumns count="3">
    <tableColumn id="1" xr3:uid="{EB58714C-3167-46FB-BAC3-7449CC2562CB}" name="Mercado"/>
    <tableColumn id="2" xr3:uid="{2398AF86-A4A9-496B-9A29-2D8A4EF8C857}" name="Cuota"/>
    <tableColumn id="3" xr3:uid="{D14B58FF-033D-4525-934F-02EEAD2E46B3}" name="Porcentaje (%)" dataDxfId="53">
      <calculatedColumnFormula>(1/G24)*100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0176A47-44B2-4C92-980F-E561017B9BDE}" name="Tabla162640" displayName="Tabla162640" ref="K54:P65" totalsRowShown="0" headerRowDxfId="52" dataDxfId="51">
  <autoFilter ref="K54:P65" xr:uid="{9B4AF61D-7B82-438A-BED1-F5A5C303C8C5}"/>
  <tableColumns count="6">
    <tableColumn id="1" xr3:uid="{A3B40837-C953-493F-B981-1F5DF44C7409}" name="Equipo 1" dataDxfId="50"/>
    <tableColumn id="2" xr3:uid="{D850A90B-BA1E-413C-ACB9-50AA6E86362B}" name="Equipo 2" dataDxfId="49"/>
    <tableColumn id="3" xr3:uid="{F8C98B6F-DBE2-4630-8D02-8F65A76C5C50}" name="Media" dataDxfId="48"/>
    <tableColumn id="4" xr3:uid="{F45C3C3F-0E0D-4BC8-9763-8205D67ADEA0}" name="Visitante" dataDxfId="47"/>
    <tableColumn id="5" xr3:uid="{A598D909-204F-4A2A-B7C7-3728C49F9B51}" name="Local" dataDxfId="46"/>
    <tableColumn id="6" xr3:uid="{42F44165-1773-4880-A234-720CC0ECD5AA}" name="Desviaciones de cada valor" dataDxfId="45">
      <calculatedColumnFormula>(N55-M55)^2</calculatedColumnFormula>
    </tableColumn>
  </tableColumns>
  <tableStyleInfo name="TableStyleMedium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E3725DB-76A8-47B3-B0D7-6B139EA4C1A2}" name="Tabla172741" displayName="Tabla172741" ref="K78:P89" totalsRowShown="0" headerRowDxfId="44" dataDxfId="43">
  <autoFilter ref="K78:P89" xr:uid="{F5590557-374A-4447-829F-7BD12CBF02C3}"/>
  <tableColumns count="6">
    <tableColumn id="1" xr3:uid="{8A06370F-CE7E-4A48-9236-ED34B7EAE9DD}" name="Equipo 1" dataDxfId="42"/>
    <tableColumn id="2" xr3:uid="{D473F448-6997-44A0-BBB7-01AE667DB26C}" name="Equipo 2" dataDxfId="41"/>
    <tableColumn id="3" xr3:uid="{66E3E926-DBAA-475A-888D-F50BC25B65F6}" name="Media" dataDxfId="40"/>
    <tableColumn id="4" xr3:uid="{20B4F899-D7FC-4210-B41C-8F0053F10F5F}" name="Visitante" dataDxfId="39"/>
    <tableColumn id="5" xr3:uid="{E6F03F88-9788-4358-98F9-50258F9C6458}" name="Local" dataDxfId="38"/>
    <tableColumn id="6" xr3:uid="{F36C1035-3EBA-4317-9350-604D323E35A1}" name="Desviaciones de cada valor" dataDxfId="37">
      <calculatedColumnFormula>(N79-M79)^2</calculatedColumnFormula>
    </tableColumn>
  </tableColumns>
  <tableStyleInfo name="TableStyleMedium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19D1B62-1F54-4520-A0EA-5DDB70D0EF91}" name="Tabla13192842" displayName="Tabla13192842" ref="B109:G120" totalsRowShown="0" headerRowDxfId="36" dataDxfId="35">
  <autoFilter ref="B109:G120" xr:uid="{D82DB05B-C615-4005-AFFB-5D69F9356421}"/>
  <tableColumns count="6">
    <tableColumn id="1" xr3:uid="{FFC8D1EF-5B9A-4EA8-B75F-0D07CF831D54}" name="Equipo 1" dataDxfId="34"/>
    <tableColumn id="2" xr3:uid="{A90E707B-BD17-4BE5-952B-42AFC0264738}" name="Equipo 2" dataDxfId="33"/>
    <tableColumn id="3" xr3:uid="{3CEC0390-4922-461D-8EA2-C6FBA6795BD8}" name="Media" dataDxfId="32"/>
    <tableColumn id="4" xr3:uid="{8C4FFEC9-24BC-4793-AD5E-B587C50ADA75}" name="Local" dataDxfId="31"/>
    <tableColumn id="5" xr3:uid="{F240FD98-6BF5-4E80-8B98-90380F998256}" name="Visitante" dataDxfId="30"/>
    <tableColumn id="6" xr3:uid="{94024087-7B6D-47B3-976C-ED3D41B5EE48}" name="Desviaciones de cada valor" dataDxfId="29">
      <calculatedColumnFormula>(E110-D110)^2</calculatedColumnFormula>
    </tableColumn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09E2D73-0A85-4CCC-A742-F7A541810275}" name="Tabla1319202943" displayName="Tabla1319202943" ref="B133:G144" totalsRowShown="0" headerRowDxfId="28" dataDxfId="27">
  <autoFilter ref="B133:G144" xr:uid="{9EB98C60-A0AA-47B5-BC52-EF4B549B8313}"/>
  <tableColumns count="6">
    <tableColumn id="1" xr3:uid="{3CDC299D-9151-4D35-9A15-12257F8E74F4}" name="Equipo 1" dataDxfId="26"/>
    <tableColumn id="2" xr3:uid="{B4D47989-2E12-4EB2-994A-9F9D84E6AB0D}" name="Equipo 2" dataDxfId="25"/>
    <tableColumn id="3" xr3:uid="{46BB0E9D-D6EB-433F-9119-08BE16C42C07}" name="Media" dataDxfId="24"/>
    <tableColumn id="4" xr3:uid="{6E0C1731-79E3-49F0-9C44-E391E8105277}" name="Local" dataDxfId="23"/>
    <tableColumn id="5" xr3:uid="{3CD45733-AABA-4C11-8743-97821DF19BFC}" name="Visitante" dataDxfId="22"/>
    <tableColumn id="6" xr3:uid="{D4FB71EC-FFBD-4A5C-9BC9-0F6491EA8878}" name="Desviaciones de cada valor" dataDxfId="21">
      <calculatedColumnFormula>(E134-D134)^2</calculatedColumnFormula>
    </tableColumn>
  </tableColumns>
  <tableStyleInfo name="TableStyleMedium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0B756DB-F636-48AA-AE37-27F12622E863}" name="Tabla1319123044" displayName="Tabla1319123044" ref="K104:P115" totalsRowShown="0" headerRowDxfId="20" dataDxfId="19">
  <autoFilter ref="K104:P115" xr:uid="{21A01D5B-5A6B-4D92-AC15-28D201D719AE}"/>
  <tableColumns count="6">
    <tableColumn id="1" xr3:uid="{DFE32ED6-013F-4634-A50A-52E2643A076F}" name="Equipo 1" dataDxfId="18"/>
    <tableColumn id="2" xr3:uid="{BA9F1586-FFF3-4410-A200-95B2A7A3C456}" name="Equipo 2" dataDxfId="17"/>
    <tableColumn id="3" xr3:uid="{C48D4A37-6D7C-4597-AD2B-07EABC4D31C5}" name="Media" dataDxfId="16"/>
    <tableColumn id="4" xr3:uid="{7D6AE067-719D-45F2-93CE-99C0FFCBCBD5}" name="Visitante" dataDxfId="15"/>
    <tableColumn id="5" xr3:uid="{204EC1C6-1DED-490E-BDB2-D40C5F840824}" name="Local" dataDxfId="14"/>
    <tableColumn id="6" xr3:uid="{8FE165D7-9FBF-4511-B35F-A41066AAEA74}" name="Desviaciones de cada valor" dataDxfId="13">
      <calculatedColumnFormula>(N105-M105)^2</calculatedColumnFormula>
    </tableColumn>
  </tableColumns>
  <tableStyleInfo name="TableStyleMedium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BD0E954-987E-4B3E-9653-71F0D9042A9A}" name="Tabla131920213145" displayName="Tabla131920213145" ref="K131:P142" totalsRowShown="0" headerRowDxfId="12" dataDxfId="11">
  <autoFilter ref="K131:P142" xr:uid="{5D13E42D-3A02-4F63-806C-C39FE42DD9B5}"/>
  <tableColumns count="6">
    <tableColumn id="1" xr3:uid="{D8DE5101-2717-4B62-9DDD-6E17319DF9B9}" name="Equipo 1" dataDxfId="10"/>
    <tableColumn id="2" xr3:uid="{87A0DD8A-4BDD-4C40-8A82-EAD372215A5F}" name="Equipo 2" dataDxfId="9"/>
    <tableColumn id="3" xr3:uid="{0A475C76-A452-4AF9-8FFB-B057770DBBD6}" name="Media" dataDxfId="8"/>
    <tableColumn id="4" xr3:uid="{38081BFD-5AAA-40E0-A748-68ED34A1E516}" name="Visitante" dataDxfId="7"/>
    <tableColumn id="5" xr3:uid="{16646B19-2569-4CB4-BEA7-EC38F203925A}" name="Local" dataDxfId="6"/>
    <tableColumn id="6" xr3:uid="{9DC7DD01-D8E7-4B84-92E0-4F5B3DE23D04}" name="Desviaciones de cada valor" dataDxfId="5">
      <calculatedColumnFormula>(N132-M132)^2</calculatedColumnFormula>
    </tableColumn>
  </tableColumns>
  <tableStyleInfo name="TableStyleMedium1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3548907-89C0-4438-A0B2-C45C7BD99B67}" name="Tabla14253246" displayName="Tabla14253246" ref="F48:H52" totalsRowShown="0">
  <autoFilter ref="F48:H52" xr:uid="{D19C6554-0F28-4170-B57B-E8BDED57FB48}"/>
  <tableColumns count="3">
    <tableColumn id="1" xr3:uid="{8E4E1A11-6522-409D-9DB4-57E1303B9CFC}" name="Mercado"/>
    <tableColumn id="2" xr3:uid="{72CF465D-5DB3-46F0-927D-5BF7514C9538}" name="Cuota"/>
    <tableColumn id="3" xr3:uid="{384E7EAB-0AA2-4801-A1D9-0C6FC72DA4EA}" name="Porcentaje (%)" dataDxfId="4">
      <calculatedColumnFormula>(1/G49)*100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567E541-9F9C-4CD9-A912-A2F79B48667D}" name="Tabla663347" displayName="Tabla663347" ref="F38:K42" totalsRowShown="0">
  <autoFilter ref="F38:K42" xr:uid="{837D2F3A-18A0-49CF-82C3-661513489C79}"/>
  <tableColumns count="6">
    <tableColumn id="1" xr3:uid="{088C72C4-5B71-4FC5-ABF3-1A41925A97B4}" name="Partido"/>
    <tableColumn id="2" xr3:uid="{4F05720F-6A98-4EE3-A5B6-1A4120D33495}" name="Mercado"/>
    <tableColumn id="3" xr3:uid="{6791CC02-2530-4CDF-8D65-20A90B32CA86}" name="Probabilidad real (%)" dataDxfId="3"/>
    <tableColumn id="4" xr3:uid="{D196A57B-4B70-4E24-A2B3-0CC066C20BF0}" name="Probabilidad Implicita (%)" dataDxfId="2">
      <calculatedColumnFormula>H49</calculatedColumnFormula>
    </tableColumn>
    <tableColumn id="5" xr3:uid="{DD630DBA-1B9F-44BC-A496-C7306AAD8D73}" name="Diferencia (%)" dataDxfId="1">
      <calculatedColumnFormula>Tabla663347[[#This Row],[Probabilidad real (%)]]-Tabla663347[[#This Row],[Probabilidad Implicita (%)]]</calculatedColumnFormula>
    </tableColumn>
    <tableColumn id="6" xr3:uid="{1EEE8EF8-756B-42B7-8000-0DCF726F5784}" name="Valor" dataDxfId="0">
      <calculatedColumnFormula>IF(Tabla663347[[#This Row],[Diferencia (%)]] &gt; 0, "Hay valor", "No hay Valor rey")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690B-FAB0-42AF-A173-8E961E597778}">
  <dimension ref="A1:P153"/>
  <sheetViews>
    <sheetView tabSelected="1" zoomScale="102" zoomScaleNormal="40" workbookViewId="0">
      <selection activeCell="D18" sqref="D18"/>
    </sheetView>
  </sheetViews>
  <sheetFormatPr baseColWidth="10" defaultColWidth="11.44140625" defaultRowHeight="14.4" x14ac:dyDescent="0.3"/>
  <cols>
    <col min="2" max="2" width="48.33203125" bestFit="1" customWidth="1"/>
    <col min="3" max="3" width="13.44140625" bestFit="1" customWidth="1"/>
    <col min="4" max="4" width="30.6640625" bestFit="1" customWidth="1"/>
    <col min="5" max="5" width="25.109375" customWidth="1"/>
    <col min="6" max="6" width="27.109375" bestFit="1" customWidth="1"/>
    <col min="7" max="7" width="28.109375" bestFit="1" customWidth="1"/>
    <col min="8" max="8" width="27" bestFit="1" customWidth="1"/>
    <col min="9" max="9" width="53.33203125" bestFit="1" customWidth="1"/>
    <col min="10" max="10" width="21.33203125" customWidth="1"/>
    <col min="11" max="11" width="15.88671875" bestFit="1" customWidth="1"/>
    <col min="12" max="13" width="51.33203125" bestFit="1" customWidth="1"/>
    <col min="14" max="14" width="14.33203125" bestFit="1" customWidth="1"/>
    <col min="15" max="15" width="13.6640625" bestFit="1" customWidth="1"/>
    <col min="16" max="16" width="29.33203125" bestFit="1" customWidth="1"/>
  </cols>
  <sheetData>
    <row r="1" spans="2:14" x14ac:dyDescent="0.3">
      <c r="D1" t="s">
        <v>75</v>
      </c>
      <c r="G1" t="s">
        <v>76</v>
      </c>
    </row>
    <row r="2" spans="2:14" x14ac:dyDescent="0.3">
      <c r="C2" s="2" t="s">
        <v>0</v>
      </c>
      <c r="D2" s="2" t="s">
        <v>1</v>
      </c>
      <c r="E2" s="2" t="s">
        <v>2</v>
      </c>
    </row>
    <row r="3" spans="2:14" x14ac:dyDescent="0.3">
      <c r="C3" s="3">
        <v>45680</v>
      </c>
      <c r="D3" s="5" t="s">
        <v>92</v>
      </c>
      <c r="E3" s="5" t="s">
        <v>93</v>
      </c>
    </row>
    <row r="7" spans="2:14" x14ac:dyDescent="0.3">
      <c r="B7" t="s">
        <v>20</v>
      </c>
      <c r="M7" t="s">
        <v>21</v>
      </c>
    </row>
    <row r="9" spans="2:14" x14ac:dyDescent="0.3">
      <c r="B9" t="s">
        <v>3</v>
      </c>
      <c r="C9" t="s">
        <v>4</v>
      </c>
      <c r="H9" t="s">
        <v>22</v>
      </c>
      <c r="M9" t="s">
        <v>5</v>
      </c>
      <c r="N9" t="s">
        <v>4</v>
      </c>
    </row>
    <row r="10" spans="2:14" x14ac:dyDescent="0.3">
      <c r="B10" t="s">
        <v>23</v>
      </c>
      <c r="C10">
        <v>10</v>
      </c>
      <c r="M10" t="s">
        <v>23</v>
      </c>
      <c r="N10">
        <v>10</v>
      </c>
    </row>
    <row r="11" spans="2:14" x14ac:dyDescent="0.3">
      <c r="B11" t="s">
        <v>24</v>
      </c>
      <c r="C11">
        <f>SUM(E69:E78)</f>
        <v>20</v>
      </c>
      <c r="M11" t="s">
        <v>25</v>
      </c>
      <c r="N11">
        <f>SUM(N56:N65)</f>
        <v>28</v>
      </c>
    </row>
    <row r="12" spans="2:14" x14ac:dyDescent="0.3">
      <c r="B12" t="s">
        <v>26</v>
      </c>
      <c r="C12">
        <f>SUM(F69:F78)</f>
        <v>11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32</v>
      </c>
      <c r="M12" t="s">
        <v>33</v>
      </c>
      <c r="N12">
        <f>SUM(O56:O65)</f>
        <v>13</v>
      </c>
    </row>
    <row r="13" spans="2:14" x14ac:dyDescent="0.3">
      <c r="B13" t="s">
        <v>6</v>
      </c>
      <c r="C13">
        <v>5</v>
      </c>
      <c r="F13" t="s">
        <v>34</v>
      </c>
      <c r="G13" t="s">
        <v>35</v>
      </c>
      <c r="H13" s="4">
        <f>C30</f>
        <v>79.174760671189105</v>
      </c>
      <c r="I13" s="4">
        <f>H24</f>
        <v>46.511627906976742</v>
      </c>
      <c r="J13" s="4">
        <f>Tabla6634[[#This Row],[Probabilidad real (%)]]-Tabla6634[[#This Row],[Probabilidad Implicita (%)]]</f>
        <v>32.663132764212364</v>
      </c>
      <c r="K13" t="str">
        <f>IF(Tabla6634[[#This Row],[Diferencia (%)]] &gt; 0, "Hay valor", "No hay Valor rey")</f>
        <v>Hay valor</v>
      </c>
      <c r="M13" t="s">
        <v>6</v>
      </c>
      <c r="N13">
        <v>7</v>
      </c>
    </row>
    <row r="14" spans="2:14" x14ac:dyDescent="0.3">
      <c r="B14" t="s">
        <v>36</v>
      </c>
      <c r="C14">
        <f>C13/C10*100</f>
        <v>50</v>
      </c>
      <c r="F14" t="s">
        <v>34</v>
      </c>
      <c r="G14" t="s">
        <v>37</v>
      </c>
      <c r="H14" s="4">
        <f>C33</f>
        <v>75.104189366824528</v>
      </c>
      <c r="I14" s="4">
        <f>H25</f>
        <v>98.039215686274503</v>
      </c>
      <c r="J14" s="4">
        <f>Tabla6634[[#This Row],[Probabilidad real (%)]]-Tabla6634[[#This Row],[Probabilidad Implicita (%)]]</f>
        <v>-22.935026319449975</v>
      </c>
      <c r="K14" t="str">
        <f>IF(Tabla6634[[#This Row],[Diferencia (%)]] &gt; 0, "Hay valor", "No hay Valor rey")</f>
        <v>No hay Valor rey</v>
      </c>
      <c r="M14" t="s">
        <v>38</v>
      </c>
      <c r="N14">
        <f>N13/N10*100</f>
        <v>70</v>
      </c>
    </row>
    <row r="15" spans="2:14" x14ac:dyDescent="0.3">
      <c r="B15" t="s">
        <v>39</v>
      </c>
      <c r="C15">
        <f>C11/C10</f>
        <v>2</v>
      </c>
      <c r="F15" t="s">
        <v>34</v>
      </c>
      <c r="G15" t="s">
        <v>40</v>
      </c>
      <c r="H15" s="4">
        <f>C36</f>
        <v>69.504980951365894</v>
      </c>
      <c r="I15" s="4">
        <f>H26</f>
        <v>64.516129032258064</v>
      </c>
      <c r="J15" s="4">
        <f>Tabla6634[[#This Row],[Probabilidad real (%)]]-Tabla6634[[#This Row],[Probabilidad Implicita (%)]]</f>
        <v>4.9888519191078302</v>
      </c>
      <c r="K15" t="str">
        <f>IF(Tabla6634[[#This Row],[Diferencia (%)]] &gt; 0, "Hay valor", "No hay Valor rey")</f>
        <v>Hay valor</v>
      </c>
      <c r="M15" t="s">
        <v>41</v>
      </c>
      <c r="N15">
        <f>N11/N10</f>
        <v>2.8</v>
      </c>
    </row>
    <row r="16" spans="2:14" x14ac:dyDescent="0.3">
      <c r="B16" t="s">
        <v>42</v>
      </c>
      <c r="C16">
        <f>C12/C10</f>
        <v>1.1000000000000001</v>
      </c>
      <c r="F16" t="s">
        <v>34</v>
      </c>
      <c r="G16" t="s">
        <v>43</v>
      </c>
      <c r="H16" s="4">
        <f>C39</f>
        <v>82.762835523349352</v>
      </c>
      <c r="I16" s="4">
        <f>H27</f>
        <v>80</v>
      </c>
      <c r="J16" s="4">
        <f>Tabla6634[[#This Row],[Probabilidad real (%)]]-Tabla6634[[#This Row],[Probabilidad Implicita (%)]]</f>
        <v>2.7628355233493522</v>
      </c>
      <c r="K16" t="str">
        <f>IF(Tabla6634[[#This Row],[Diferencia (%)]] &gt; 0, "Hay valor", "No hay Valor rey")</f>
        <v>Hay valor</v>
      </c>
      <c r="M16" t="s">
        <v>44</v>
      </c>
      <c r="N16">
        <f>N12/N10</f>
        <v>1.3</v>
      </c>
    </row>
    <row r="17" spans="2:14" x14ac:dyDescent="0.3">
      <c r="B17" t="s">
        <v>45</v>
      </c>
      <c r="C17">
        <f>C14+(C15-C16)/C10</f>
        <v>50.09</v>
      </c>
      <c r="M17" t="s">
        <v>46</v>
      </c>
      <c r="N17">
        <f>N14+(N15-N16)/N10</f>
        <v>70.150000000000006</v>
      </c>
    </row>
    <row r="18" spans="2:14" x14ac:dyDescent="0.3">
      <c r="B18" t="s">
        <v>47</v>
      </c>
      <c r="C18">
        <f>C17/100</f>
        <v>0.50090000000000001</v>
      </c>
      <c r="M18" t="s">
        <v>47</v>
      </c>
      <c r="N18">
        <f>N17/100</f>
        <v>0.70150000000000001</v>
      </c>
    </row>
    <row r="19" spans="2:14" x14ac:dyDescent="0.3">
      <c r="B19" t="s">
        <v>48</v>
      </c>
      <c r="C19">
        <f>SUM(E89:E98)</f>
        <v>34</v>
      </c>
      <c r="M19" t="s">
        <v>48</v>
      </c>
      <c r="N19">
        <f>SUM(N80:N89)</f>
        <v>52</v>
      </c>
    </row>
    <row r="20" spans="2:14" x14ac:dyDescent="0.3">
      <c r="B20" t="s">
        <v>49</v>
      </c>
      <c r="C20">
        <f>C19/C10</f>
        <v>3.4</v>
      </c>
      <c r="M20" t="s">
        <v>50</v>
      </c>
      <c r="N20">
        <f>N19/N10</f>
        <v>5.2</v>
      </c>
    </row>
    <row r="21" spans="2:14" x14ac:dyDescent="0.3">
      <c r="B21" t="s">
        <v>51</v>
      </c>
      <c r="C21">
        <f>SUM(E111:E120)</f>
        <v>127</v>
      </c>
      <c r="G21" t="s">
        <v>52</v>
      </c>
      <c r="M21" t="s">
        <v>53</v>
      </c>
      <c r="N21">
        <f>SUM(N106:N115)</f>
        <v>172</v>
      </c>
    </row>
    <row r="22" spans="2:14" x14ac:dyDescent="0.3">
      <c r="B22" t="s">
        <v>54</v>
      </c>
      <c r="C22">
        <f>C21/C10</f>
        <v>12.7</v>
      </c>
      <c r="M22" t="s">
        <v>54</v>
      </c>
      <c r="N22">
        <f>N21/N10</f>
        <v>17.2</v>
      </c>
    </row>
    <row r="23" spans="2:14" x14ac:dyDescent="0.3">
      <c r="B23" t="s">
        <v>55</v>
      </c>
      <c r="C23">
        <f>SUM(E135:E144)</f>
        <v>21</v>
      </c>
      <c r="F23" t="s">
        <v>28</v>
      </c>
      <c r="G23" t="s">
        <v>56</v>
      </c>
      <c r="H23" t="s">
        <v>57</v>
      </c>
      <c r="M23" t="s">
        <v>55</v>
      </c>
      <c r="N23">
        <f>SUM(N133:N142)</f>
        <v>25</v>
      </c>
    </row>
    <row r="24" spans="2:14" x14ac:dyDescent="0.3">
      <c r="B24" t="s">
        <v>58</v>
      </c>
      <c r="C24">
        <f>C23/C10</f>
        <v>2.1</v>
      </c>
      <c r="F24" t="s">
        <v>59</v>
      </c>
      <c r="G24">
        <v>2.15</v>
      </c>
      <c r="H24" s="4">
        <f>(1/G24)*100</f>
        <v>46.511627906976742</v>
      </c>
      <c r="M24" t="s">
        <v>58</v>
      </c>
      <c r="N24">
        <f>N23/N10</f>
        <v>2.5</v>
      </c>
    </row>
    <row r="25" spans="2:14" x14ac:dyDescent="0.3">
      <c r="F25" t="s">
        <v>37</v>
      </c>
      <c r="G25">
        <v>1.02</v>
      </c>
      <c r="H25" s="4">
        <f>(1/G25)*100</f>
        <v>98.039215686274503</v>
      </c>
    </row>
    <row r="26" spans="2:14" x14ac:dyDescent="0.3">
      <c r="B26" t="s">
        <v>77</v>
      </c>
      <c r="F26" t="s">
        <v>40</v>
      </c>
      <c r="G26">
        <v>1.55</v>
      </c>
      <c r="H26" s="4">
        <f>(1/G26)*100</f>
        <v>64.516129032258064</v>
      </c>
    </row>
    <row r="27" spans="2:14" x14ac:dyDescent="0.3">
      <c r="F27" t="s">
        <v>43</v>
      </c>
      <c r="G27">
        <v>1.25</v>
      </c>
      <c r="H27" s="4">
        <f>(1/G27)*100</f>
        <v>80</v>
      </c>
    </row>
    <row r="28" spans="2:14" x14ac:dyDescent="0.3">
      <c r="B28" s="8" t="s">
        <v>9</v>
      </c>
      <c r="C28" s="8">
        <f>C15+N15</f>
        <v>4.8</v>
      </c>
    </row>
    <row r="29" spans="2:14" x14ac:dyDescent="0.3">
      <c r="B29" s="8" t="s">
        <v>18</v>
      </c>
      <c r="C29" s="8">
        <f>SQRT((F81^2) + (O69^2))</f>
        <v>1.6</v>
      </c>
    </row>
    <row r="30" spans="2:14" x14ac:dyDescent="0.3">
      <c r="B30" s="8" t="s">
        <v>60</v>
      </c>
      <c r="C30" s="9">
        <f>(1- NORMDIST(3.5,C28,C29,TRUE))*100</f>
        <v>79.174760671189105</v>
      </c>
    </row>
    <row r="31" spans="2:14" x14ac:dyDescent="0.3">
      <c r="B31" s="10" t="s">
        <v>8</v>
      </c>
      <c r="C31" s="10">
        <f>C20+N20</f>
        <v>8.6</v>
      </c>
    </row>
    <row r="32" spans="2:14" x14ac:dyDescent="0.3">
      <c r="B32" s="10" t="s">
        <v>17</v>
      </c>
      <c r="C32" s="10">
        <f>SQRT((F102^2) + (O93^2))</f>
        <v>3.0983866769659336</v>
      </c>
    </row>
    <row r="33" spans="2:11" x14ac:dyDescent="0.3">
      <c r="B33" s="10" t="s">
        <v>61</v>
      </c>
      <c r="C33" s="11">
        <f>(1- NORMDIST(6.5,C31,C32,TRUE))*100</f>
        <v>75.104189366824528</v>
      </c>
      <c r="H33" t="s">
        <v>22</v>
      </c>
    </row>
    <row r="34" spans="2:11" x14ac:dyDescent="0.3">
      <c r="B34" s="12" t="s">
        <v>62</v>
      </c>
      <c r="C34" s="12">
        <f>C22+N22</f>
        <v>29.9</v>
      </c>
    </row>
    <row r="35" spans="2:11" x14ac:dyDescent="0.3">
      <c r="B35" s="12" t="s">
        <v>63</v>
      </c>
      <c r="C35" s="12">
        <f>SQRT((F124^2) + (O119^2))</f>
        <v>8.623804264940155</v>
      </c>
    </row>
    <row r="36" spans="2:11" x14ac:dyDescent="0.3">
      <c r="B36" s="12" t="s">
        <v>40</v>
      </c>
      <c r="C36" s="13">
        <f>(1- NORMDIST(25.5,C34,C35,TRUE))*100</f>
        <v>69.504980951365894</v>
      </c>
    </row>
    <row r="37" spans="2:11" x14ac:dyDescent="0.3">
      <c r="B37" s="7" t="s">
        <v>64</v>
      </c>
      <c r="C37" s="7">
        <f>C24+N24</f>
        <v>4.5999999999999996</v>
      </c>
    </row>
    <row r="38" spans="2:11" x14ac:dyDescent="0.3">
      <c r="B38" s="7" t="s">
        <v>65</v>
      </c>
      <c r="C38" s="7">
        <f>SQRT((F148^2) + (O146^2))</f>
        <v>2.2226110770892866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K38" t="s">
        <v>32</v>
      </c>
    </row>
    <row r="39" spans="2:11" x14ac:dyDescent="0.3">
      <c r="B39" s="7" t="s">
        <v>66</v>
      </c>
      <c r="C39" s="14">
        <f>(1- NORMDIST(2.5,C37,C38,TRUE))*100</f>
        <v>82.762835523349352</v>
      </c>
      <c r="F39" t="s">
        <v>34</v>
      </c>
      <c r="G39" t="s">
        <v>78</v>
      </c>
      <c r="H39" s="4">
        <f>C48</f>
        <v>7.5287986412423402</v>
      </c>
      <c r="I39" s="4">
        <f t="shared" ref="I39:I42" si="0">H49</f>
        <v>68.027210884353735</v>
      </c>
      <c r="J39" s="4">
        <f>Tabla663347[[#This Row],[Probabilidad real (%)]]-Tabla663347[[#This Row],[Probabilidad Implicita (%)]]</f>
        <v>-60.498412243111396</v>
      </c>
      <c r="K39" t="str">
        <f>IF(Tabla663347[[#This Row],[Diferencia (%)]] &gt; 0, "Hay valor", "No hay Valor rey")</f>
        <v>No hay Valor rey</v>
      </c>
    </row>
    <row r="40" spans="2:11" x14ac:dyDescent="0.3">
      <c r="F40" t="s">
        <v>34</v>
      </c>
      <c r="G40" t="s">
        <v>79</v>
      </c>
      <c r="H40" s="4">
        <f>C51</f>
        <v>9.2872916968029209</v>
      </c>
      <c r="I40" s="4">
        <f t="shared" si="0"/>
        <v>99.502487562189074</v>
      </c>
      <c r="J40" s="4">
        <f>Tabla663347[[#This Row],[Probabilidad real (%)]]-Tabla663347[[#This Row],[Probabilidad Implicita (%)]]</f>
        <v>-90.21519586538615</v>
      </c>
      <c r="K40" t="str">
        <f>IF(Tabla663347[[#This Row],[Diferencia (%)]] &gt; 0, "Hay valor", "No hay Valor rey")</f>
        <v>No hay Valor rey</v>
      </c>
    </row>
    <row r="41" spans="2:11" x14ac:dyDescent="0.3">
      <c r="F41" t="s">
        <v>34</v>
      </c>
      <c r="G41" t="s">
        <v>80</v>
      </c>
      <c r="H41" s="4">
        <f>C54</f>
        <v>26.560048596660025</v>
      </c>
      <c r="I41" s="4">
        <f t="shared" si="0"/>
        <v>68.965517241379317</v>
      </c>
      <c r="J41" s="4">
        <f>Tabla663347[[#This Row],[Probabilidad real (%)]]-Tabla663347[[#This Row],[Probabilidad Implicita (%)]]</f>
        <v>-42.405468644719292</v>
      </c>
      <c r="K41" t="str">
        <f>IF(Tabla663347[[#This Row],[Diferencia (%)]] &gt; 0, "Hay valor", "No hay Valor rey")</f>
        <v>No hay Valor rey</v>
      </c>
    </row>
    <row r="42" spans="2:11" x14ac:dyDescent="0.3">
      <c r="F42" t="s">
        <v>34</v>
      </c>
      <c r="G42" t="s">
        <v>81</v>
      </c>
      <c r="H42" s="4">
        <f>C57</f>
        <v>31.033062650265997</v>
      </c>
      <c r="I42" s="4">
        <f t="shared" si="0"/>
        <v>75.757575757575751</v>
      </c>
      <c r="J42" s="4">
        <f>Tabla663347[[#This Row],[Probabilidad real (%)]]-Tabla663347[[#This Row],[Probabilidad Implicita (%)]]</f>
        <v>-44.724513107309754</v>
      </c>
      <c r="K42" t="str">
        <f>IF(Tabla663347[[#This Row],[Diferencia (%)]] &gt; 0, "Hay valor", "No hay Valor rey")</f>
        <v>No hay Valor rey</v>
      </c>
    </row>
    <row r="44" spans="2:11" x14ac:dyDescent="0.3">
      <c r="B44" t="s">
        <v>82</v>
      </c>
    </row>
    <row r="46" spans="2:11" x14ac:dyDescent="0.3">
      <c r="B46" s="8" t="s">
        <v>9</v>
      </c>
      <c r="C46" s="8">
        <f>C15+N15</f>
        <v>4.8</v>
      </c>
    </row>
    <row r="47" spans="2:11" x14ac:dyDescent="0.3">
      <c r="B47" s="8" t="s">
        <v>18</v>
      </c>
      <c r="C47" s="8">
        <f>SQRT((F81^2) + (O69^2))</f>
        <v>1.6</v>
      </c>
    </row>
    <row r="48" spans="2:11" x14ac:dyDescent="0.3">
      <c r="B48" s="8" t="s">
        <v>83</v>
      </c>
      <c r="C48" s="9">
        <f>(NORMDIST(2.5,C46,C47,TRUE))*100</f>
        <v>7.5287986412423402</v>
      </c>
      <c r="F48" t="s">
        <v>28</v>
      </c>
      <c r="G48" t="s">
        <v>56</v>
      </c>
      <c r="H48" t="s">
        <v>57</v>
      </c>
    </row>
    <row r="49" spans="2:16" x14ac:dyDescent="0.3">
      <c r="B49" s="10" t="s">
        <v>8</v>
      </c>
      <c r="C49" s="10">
        <f>C20+N20</f>
        <v>8.6</v>
      </c>
      <c r="F49" t="s">
        <v>78</v>
      </c>
      <c r="G49">
        <v>1.47</v>
      </c>
      <c r="H49" s="4">
        <f>(1/G49)*100</f>
        <v>68.027210884353735</v>
      </c>
    </row>
    <row r="50" spans="2:16" x14ac:dyDescent="0.3">
      <c r="B50" s="10" t="s">
        <v>17</v>
      </c>
      <c r="C50" s="10">
        <f>SQRT((F102^2) + (O93^2))</f>
        <v>3.0983866769659336</v>
      </c>
      <c r="F50" t="s">
        <v>79</v>
      </c>
      <c r="G50">
        <v>1.0049999999999999</v>
      </c>
      <c r="H50" s="4">
        <f>(1/G50)*100</f>
        <v>99.502487562189074</v>
      </c>
      <c r="M50" t="s">
        <v>84</v>
      </c>
    </row>
    <row r="51" spans="2:16" x14ac:dyDescent="0.3">
      <c r="B51" s="10" t="s">
        <v>79</v>
      </c>
      <c r="C51" s="11">
        <f>(NORMDIST(4.5,C49,C50,TRUE))*100</f>
        <v>9.2872916968029209</v>
      </c>
      <c r="F51" t="s">
        <v>80</v>
      </c>
      <c r="G51">
        <v>1.45</v>
      </c>
      <c r="H51" s="4">
        <f>(1/G51)*100</f>
        <v>68.965517241379317</v>
      </c>
    </row>
    <row r="52" spans="2:16" x14ac:dyDescent="0.3">
      <c r="B52" s="12" t="s">
        <v>62</v>
      </c>
      <c r="C52" s="12">
        <f>C22+N22</f>
        <v>29.9</v>
      </c>
      <c r="F52" t="s">
        <v>81</v>
      </c>
      <c r="G52">
        <v>1.32</v>
      </c>
      <c r="H52" s="4">
        <f>(1/G52)*100</f>
        <v>75.757575757575751</v>
      </c>
      <c r="M52" t="s">
        <v>16</v>
      </c>
    </row>
    <row r="53" spans="2:16" x14ac:dyDescent="0.3">
      <c r="B53" s="12" t="s">
        <v>63</v>
      </c>
      <c r="C53" s="12">
        <f>SQRT((F124^2) + (O119^2))</f>
        <v>8.623804264940155</v>
      </c>
    </row>
    <row r="54" spans="2:16" x14ac:dyDescent="0.3">
      <c r="B54" s="12" t="s">
        <v>80</v>
      </c>
      <c r="C54" s="13">
        <f>(NORMDIST(24.5,C52,C53,TRUE))*100</f>
        <v>26.560048596660025</v>
      </c>
      <c r="K54" s="6" t="s">
        <v>67</v>
      </c>
      <c r="L54" s="6" t="s">
        <v>68</v>
      </c>
      <c r="M54" s="5" t="s">
        <v>11</v>
      </c>
      <c r="N54" s="5" t="s">
        <v>21</v>
      </c>
      <c r="O54" s="5" t="s">
        <v>20</v>
      </c>
      <c r="P54" s="5" t="s">
        <v>12</v>
      </c>
    </row>
    <row r="55" spans="2:16" x14ac:dyDescent="0.3">
      <c r="B55" s="7" t="s">
        <v>64</v>
      </c>
      <c r="C55" s="7">
        <f>C24+N24</f>
        <v>4.5999999999999996</v>
      </c>
      <c r="K55" s="5"/>
      <c r="L55" s="5"/>
      <c r="M55" s="5"/>
      <c r="N55" s="5"/>
      <c r="O55" s="5"/>
      <c r="P55" s="5"/>
    </row>
    <row r="56" spans="2:16" x14ac:dyDescent="0.3">
      <c r="B56" s="7" t="s">
        <v>65</v>
      </c>
      <c r="C56" s="7">
        <f>SQRT((F148^2) + (O146^2))</f>
        <v>2.2226110770892866</v>
      </c>
      <c r="K56" s="5" t="s">
        <v>94</v>
      </c>
      <c r="L56" s="5" t="s">
        <v>95</v>
      </c>
      <c r="M56" s="5">
        <f>SUM(N56:N65)/10</f>
        <v>2.8</v>
      </c>
      <c r="N56" s="5">
        <v>3</v>
      </c>
      <c r="O56" s="5">
        <v>0</v>
      </c>
      <c r="P56" s="5">
        <f>(N56-M56)^2</f>
        <v>4.000000000000007E-2</v>
      </c>
    </row>
    <row r="57" spans="2:16" x14ac:dyDescent="0.3">
      <c r="B57" s="7" t="s">
        <v>81</v>
      </c>
      <c r="C57" s="14">
        <f>(NORMDIST(3.5,C55,C56,TRUE))*100</f>
        <v>31.033062650265997</v>
      </c>
      <c r="K57" s="5" t="s">
        <v>94</v>
      </c>
      <c r="L57" s="5" t="s">
        <v>10</v>
      </c>
      <c r="M57" s="5">
        <f>SUM(N56:N65)/10</f>
        <v>2.8</v>
      </c>
      <c r="N57" s="5">
        <v>2</v>
      </c>
      <c r="O57" s="5">
        <v>5</v>
      </c>
      <c r="P57" s="5">
        <f t="shared" ref="P57:P65" si="1">(N57-M57)^2</f>
        <v>0.63999999999999968</v>
      </c>
    </row>
    <row r="58" spans="2:16" x14ac:dyDescent="0.3">
      <c r="K58" s="5" t="s">
        <v>94</v>
      </c>
      <c r="L58" s="5" t="s">
        <v>96</v>
      </c>
      <c r="M58" s="5">
        <f>SUM(N56:N65)/10</f>
        <v>2.8</v>
      </c>
      <c r="N58" s="5">
        <v>3</v>
      </c>
      <c r="O58" s="5">
        <v>0</v>
      </c>
      <c r="P58" s="5">
        <f t="shared" si="1"/>
        <v>4.000000000000007E-2</v>
      </c>
    </row>
    <row r="59" spans="2:16" x14ac:dyDescent="0.3">
      <c r="K59" s="5" t="s">
        <v>94</v>
      </c>
      <c r="L59" s="5" t="s">
        <v>97</v>
      </c>
      <c r="M59" s="5">
        <f>SUM(N56:N65)/10</f>
        <v>2.8</v>
      </c>
      <c r="N59" s="5">
        <v>5</v>
      </c>
      <c r="O59" s="5">
        <v>0</v>
      </c>
      <c r="P59" s="5">
        <f t="shared" si="1"/>
        <v>4.8400000000000007</v>
      </c>
    </row>
    <row r="60" spans="2:16" x14ac:dyDescent="0.3">
      <c r="K60" s="5" t="s">
        <v>94</v>
      </c>
      <c r="L60" s="5" t="s">
        <v>98</v>
      </c>
      <c r="M60" s="5">
        <f>SUM(N56:N65)/10</f>
        <v>2.8</v>
      </c>
      <c r="N60" s="5">
        <v>2</v>
      </c>
      <c r="O60" s="5">
        <v>1</v>
      </c>
      <c r="P60" s="5">
        <f t="shared" si="1"/>
        <v>0.63999999999999968</v>
      </c>
    </row>
    <row r="61" spans="2:16" x14ac:dyDescent="0.3">
      <c r="K61" s="5" t="s">
        <v>94</v>
      </c>
      <c r="L61" s="5" t="s">
        <v>99</v>
      </c>
      <c r="M61" s="5">
        <f>SUM(N56:N65)/10</f>
        <v>2.8</v>
      </c>
      <c r="N61" s="5">
        <v>3</v>
      </c>
      <c r="O61" s="5">
        <v>0</v>
      </c>
      <c r="P61" s="5">
        <f t="shared" si="1"/>
        <v>4.000000000000007E-2</v>
      </c>
    </row>
    <row r="62" spans="2:16" x14ac:dyDescent="0.3">
      <c r="K62" s="5" t="s">
        <v>94</v>
      </c>
      <c r="L62" s="5" t="s">
        <v>100</v>
      </c>
      <c r="M62" s="5">
        <f>SUM(N56:N65)/10</f>
        <v>2.8</v>
      </c>
      <c r="N62" s="5">
        <v>3</v>
      </c>
      <c r="O62" s="5">
        <v>3</v>
      </c>
      <c r="P62" s="5">
        <f t="shared" si="1"/>
        <v>4.000000000000007E-2</v>
      </c>
    </row>
    <row r="63" spans="2:16" x14ac:dyDescent="0.3">
      <c r="K63" s="5" t="s">
        <v>94</v>
      </c>
      <c r="L63" s="5" t="s">
        <v>101</v>
      </c>
      <c r="M63" s="5">
        <f>SUM(N56:N65)/10</f>
        <v>2.8</v>
      </c>
      <c r="N63" s="5">
        <v>3</v>
      </c>
      <c r="O63" s="5">
        <v>2</v>
      </c>
      <c r="P63" s="5">
        <f t="shared" si="1"/>
        <v>4.000000000000007E-2</v>
      </c>
    </row>
    <row r="64" spans="2:16" x14ac:dyDescent="0.3">
      <c r="K64" s="5" t="s">
        <v>94</v>
      </c>
      <c r="L64" s="5" t="s">
        <v>102</v>
      </c>
      <c r="M64" s="5">
        <f>SUM(N56:N65)/10</f>
        <v>2.8</v>
      </c>
      <c r="N64" s="5">
        <v>3</v>
      </c>
      <c r="O64" s="5">
        <v>0</v>
      </c>
      <c r="P64" s="5">
        <f t="shared" si="1"/>
        <v>4.000000000000007E-2</v>
      </c>
    </row>
    <row r="65" spans="1:16" x14ac:dyDescent="0.3">
      <c r="C65" t="s">
        <v>16</v>
      </c>
      <c r="K65" s="5" t="s">
        <v>94</v>
      </c>
      <c r="L65" s="5" t="s">
        <v>103</v>
      </c>
      <c r="M65" s="5">
        <f>SUM(N56:N65)/10</f>
        <v>2.8</v>
      </c>
      <c r="N65" s="5">
        <v>1</v>
      </c>
      <c r="O65" s="5">
        <v>2</v>
      </c>
      <c r="P65" s="5">
        <f t="shared" si="1"/>
        <v>3.2399999999999993</v>
      </c>
    </row>
    <row r="67" spans="1:16" x14ac:dyDescent="0.3">
      <c r="B67" s="5" t="s">
        <v>67</v>
      </c>
      <c r="C67" s="5" t="s">
        <v>68</v>
      </c>
      <c r="D67" s="5" t="s">
        <v>11</v>
      </c>
      <c r="E67" s="5" t="s">
        <v>20</v>
      </c>
      <c r="F67" s="5" t="s">
        <v>21</v>
      </c>
      <c r="G67" s="5" t="s">
        <v>12</v>
      </c>
      <c r="M67" t="s">
        <v>13</v>
      </c>
      <c r="O67">
        <f>SUM(P56:P65)</f>
        <v>9.6</v>
      </c>
    </row>
    <row r="68" spans="1:16" x14ac:dyDescent="0.3">
      <c r="B68" s="5"/>
      <c r="C68" s="5"/>
      <c r="D68" s="5"/>
      <c r="E68" s="5"/>
      <c r="F68" s="5"/>
      <c r="G68" s="5"/>
      <c r="M68" t="s">
        <v>69</v>
      </c>
      <c r="O68">
        <f>O67/10</f>
        <v>0.96</v>
      </c>
    </row>
    <row r="69" spans="1:16" x14ac:dyDescent="0.3">
      <c r="B69" s="5" t="s">
        <v>92</v>
      </c>
      <c r="C69" s="5" t="s">
        <v>19</v>
      </c>
      <c r="D69" s="5">
        <f>SUM(E69:E78)/10</f>
        <v>2</v>
      </c>
      <c r="E69" s="5">
        <v>2</v>
      </c>
      <c r="F69" s="5">
        <v>1</v>
      </c>
      <c r="G69" s="5">
        <f>(E69-D69)^2</f>
        <v>0</v>
      </c>
      <c r="J69" t="s">
        <v>85</v>
      </c>
      <c r="K69">
        <f>SUM(N56:N65)</f>
        <v>28</v>
      </c>
      <c r="M69" s="7" t="s">
        <v>14</v>
      </c>
      <c r="N69" s="7"/>
      <c r="O69" s="7">
        <f>SQRT(O68)</f>
        <v>0.9797958971132712</v>
      </c>
    </row>
    <row r="70" spans="1:16" x14ac:dyDescent="0.3">
      <c r="B70" s="5" t="s">
        <v>92</v>
      </c>
      <c r="C70" s="5" t="s">
        <v>104</v>
      </c>
      <c r="D70" s="5">
        <f>SUM(E69:E78)/10</f>
        <v>2</v>
      </c>
      <c r="E70" s="5">
        <v>4</v>
      </c>
      <c r="F70" s="5">
        <v>1</v>
      </c>
      <c r="G70" s="5">
        <f t="shared" ref="G70:G78" si="2">(E70-D70)^2</f>
        <v>4</v>
      </c>
      <c r="J70" t="s">
        <v>86</v>
      </c>
      <c r="K70">
        <f>SUM(O56:O65)</f>
        <v>13</v>
      </c>
      <c r="M70" t="s">
        <v>15</v>
      </c>
      <c r="O70" s="4">
        <f>SQRT(O68)</f>
        <v>0.9797958971132712</v>
      </c>
    </row>
    <row r="71" spans="1:16" x14ac:dyDescent="0.3">
      <c r="B71" s="5" t="s">
        <v>92</v>
      </c>
      <c r="C71" s="5" t="s">
        <v>105</v>
      </c>
      <c r="D71" s="5">
        <f>SUM(E69:E78)/10</f>
        <v>2</v>
      </c>
      <c r="E71" s="5">
        <v>3</v>
      </c>
      <c r="F71" s="5">
        <v>1</v>
      </c>
      <c r="G71" s="5">
        <f t="shared" si="2"/>
        <v>1</v>
      </c>
    </row>
    <row r="72" spans="1:16" x14ac:dyDescent="0.3">
      <c r="B72" s="5" t="s">
        <v>92</v>
      </c>
      <c r="C72" s="5" t="s">
        <v>106</v>
      </c>
      <c r="D72" s="5">
        <f>SUM(E69:E78)/10</f>
        <v>2</v>
      </c>
      <c r="E72" s="5">
        <v>0</v>
      </c>
      <c r="F72" s="5">
        <v>1</v>
      </c>
      <c r="G72" s="5">
        <f t="shared" si="2"/>
        <v>4</v>
      </c>
      <c r="M72" t="s">
        <v>70</v>
      </c>
      <c r="O72">
        <f>1- NORMDIST(2.5,N15,O69,TRUE)</f>
        <v>0.6202685673100331</v>
      </c>
    </row>
    <row r="73" spans="1:16" x14ac:dyDescent="0.3">
      <c r="B73" s="5" t="s">
        <v>92</v>
      </c>
      <c r="C73" s="5" t="s">
        <v>107</v>
      </c>
      <c r="D73" s="5">
        <f>SUM(E69:E78)/10</f>
        <v>2</v>
      </c>
      <c r="E73" s="5">
        <v>1</v>
      </c>
      <c r="F73" s="5">
        <v>1</v>
      </c>
      <c r="G73" s="5">
        <f t="shared" si="2"/>
        <v>1</v>
      </c>
    </row>
    <row r="74" spans="1:16" x14ac:dyDescent="0.3">
      <c r="B74" s="5" t="s">
        <v>92</v>
      </c>
      <c r="C74" s="5" t="s">
        <v>108</v>
      </c>
      <c r="D74" s="5">
        <f>SUM(E69:E78)/10</f>
        <v>2</v>
      </c>
      <c r="E74" s="5">
        <v>2</v>
      </c>
      <c r="F74" s="5">
        <v>0</v>
      </c>
      <c r="G74" s="5">
        <f t="shared" si="2"/>
        <v>0</v>
      </c>
    </row>
    <row r="75" spans="1:16" x14ac:dyDescent="0.3">
      <c r="B75" s="5" t="s">
        <v>92</v>
      </c>
      <c r="C75" s="5" t="s">
        <v>109</v>
      </c>
      <c r="D75" s="5">
        <f>SUM(E69:E78)/10</f>
        <v>2</v>
      </c>
      <c r="E75" s="5">
        <v>2</v>
      </c>
      <c r="F75" s="5">
        <v>0</v>
      </c>
      <c r="G75" s="5">
        <f t="shared" si="2"/>
        <v>0</v>
      </c>
    </row>
    <row r="76" spans="1:16" x14ac:dyDescent="0.3">
      <c r="B76" s="5" t="s">
        <v>92</v>
      </c>
      <c r="C76" s="5" t="s">
        <v>110</v>
      </c>
      <c r="D76" s="5">
        <f>SUM(E69:E78)/10</f>
        <v>2</v>
      </c>
      <c r="E76" s="5">
        <v>4</v>
      </c>
      <c r="F76" s="5">
        <v>0</v>
      </c>
      <c r="G76" s="5">
        <f t="shared" si="2"/>
        <v>4</v>
      </c>
      <c r="M76" t="s">
        <v>71</v>
      </c>
    </row>
    <row r="77" spans="1:16" x14ac:dyDescent="0.3">
      <c r="B77" s="5" t="s">
        <v>92</v>
      </c>
      <c r="C77" s="5" t="s">
        <v>111</v>
      </c>
      <c r="D77" s="5">
        <f>SUM(E69:E78)/10</f>
        <v>2</v>
      </c>
      <c r="E77" s="5">
        <v>1</v>
      </c>
      <c r="F77" s="5">
        <v>5</v>
      </c>
      <c r="G77" s="5">
        <f t="shared" si="2"/>
        <v>1</v>
      </c>
    </row>
    <row r="78" spans="1:16" x14ac:dyDescent="0.3">
      <c r="B78" s="5" t="s">
        <v>92</v>
      </c>
      <c r="C78" s="5" t="s">
        <v>112</v>
      </c>
      <c r="D78" s="5">
        <f>SUM(E69:E78)/10</f>
        <v>2</v>
      </c>
      <c r="E78" s="5">
        <v>1</v>
      </c>
      <c r="F78" s="5">
        <v>1</v>
      </c>
      <c r="G78" s="5">
        <f t="shared" si="2"/>
        <v>1</v>
      </c>
      <c r="K78" s="5" t="s">
        <v>67</v>
      </c>
      <c r="L78" s="5" t="s">
        <v>68</v>
      </c>
      <c r="M78" s="5" t="s">
        <v>11</v>
      </c>
      <c r="N78" s="5" t="s">
        <v>21</v>
      </c>
      <c r="O78" s="5" t="s">
        <v>20</v>
      </c>
      <c r="P78" s="5" t="s">
        <v>12</v>
      </c>
    </row>
    <row r="79" spans="1:16" x14ac:dyDescent="0.3">
      <c r="D79" t="s">
        <v>13</v>
      </c>
      <c r="F79">
        <f>SUM(G69:G78)</f>
        <v>16</v>
      </c>
      <c r="K79" s="5"/>
      <c r="L79" s="5"/>
      <c r="M79" s="5"/>
      <c r="N79" s="5"/>
      <c r="O79" s="5"/>
      <c r="P79" s="5"/>
    </row>
    <row r="80" spans="1:16" x14ac:dyDescent="0.3">
      <c r="A80" t="s">
        <v>85</v>
      </c>
      <c r="B80">
        <f>SUM(E69:E78)</f>
        <v>20</v>
      </c>
      <c r="D80" t="s">
        <v>69</v>
      </c>
      <c r="F80">
        <f>F79/10</f>
        <v>1.6</v>
      </c>
      <c r="K80" s="5" t="s">
        <v>94</v>
      </c>
      <c r="L80" s="5" t="s">
        <v>95</v>
      </c>
      <c r="M80" s="5">
        <f>SUM(N80:N89)/10</f>
        <v>5.2</v>
      </c>
      <c r="N80" s="5">
        <v>7</v>
      </c>
      <c r="O80" s="5">
        <v>1</v>
      </c>
      <c r="P80" s="5">
        <f>(N80-M80)^2</f>
        <v>3.2399999999999993</v>
      </c>
    </row>
    <row r="81" spans="1:16" x14ac:dyDescent="0.3">
      <c r="A81" t="s">
        <v>86</v>
      </c>
      <c r="B81">
        <f>SUM(F69:F78)</f>
        <v>11</v>
      </c>
      <c r="D81" s="7" t="s">
        <v>14</v>
      </c>
      <c r="E81" s="7"/>
      <c r="F81" s="7">
        <f>SQRT(F80)</f>
        <v>1.2649110640673518</v>
      </c>
      <c r="K81" s="5" t="s">
        <v>94</v>
      </c>
      <c r="L81" s="5" t="s">
        <v>10</v>
      </c>
      <c r="M81" s="5">
        <f>SUM(N80:N89)/10</f>
        <v>5.2</v>
      </c>
      <c r="N81" s="5">
        <v>9</v>
      </c>
      <c r="O81" s="5">
        <v>5</v>
      </c>
      <c r="P81" s="5">
        <f t="shared" ref="P81:P89" si="3">(N81-M81)^2</f>
        <v>14.44</v>
      </c>
    </row>
    <row r="82" spans="1:16" x14ac:dyDescent="0.3">
      <c r="D82" t="s">
        <v>15</v>
      </c>
      <c r="F82" s="4">
        <f>SQRT(F80)</f>
        <v>1.2649110640673518</v>
      </c>
      <c r="K82" s="5" t="s">
        <v>94</v>
      </c>
      <c r="L82" s="5" t="s">
        <v>96</v>
      </c>
      <c r="M82" s="5">
        <f>SUM(N80:N89)/10</f>
        <v>5.2</v>
      </c>
      <c r="N82" s="5">
        <v>6</v>
      </c>
      <c r="O82" s="5">
        <v>1</v>
      </c>
      <c r="P82" s="5">
        <f t="shared" si="3"/>
        <v>0.63999999999999968</v>
      </c>
    </row>
    <row r="83" spans="1:16" x14ac:dyDescent="0.3">
      <c r="K83" s="5" t="s">
        <v>94</v>
      </c>
      <c r="L83" s="5" t="s">
        <v>97</v>
      </c>
      <c r="M83" s="5">
        <f>SUM(N80:N89)/10</f>
        <v>5.2</v>
      </c>
      <c r="N83" s="5">
        <v>9</v>
      </c>
      <c r="O83" s="5">
        <v>0</v>
      </c>
      <c r="P83" s="5">
        <f t="shared" si="3"/>
        <v>14.44</v>
      </c>
    </row>
    <row r="84" spans="1:16" x14ac:dyDescent="0.3">
      <c r="D84" t="s">
        <v>70</v>
      </c>
      <c r="F84">
        <f>1- NORMDIST(2.5,C15,F81,TRUE)</f>
        <v>0.34631639202098008</v>
      </c>
      <c r="K84" s="5" t="s">
        <v>94</v>
      </c>
      <c r="L84" s="5" t="s">
        <v>98</v>
      </c>
      <c r="M84" s="5">
        <f>SUM(N80:N89)/10</f>
        <v>5.2</v>
      </c>
      <c r="N84" s="5">
        <v>5</v>
      </c>
      <c r="O84" s="5">
        <v>2</v>
      </c>
      <c r="P84" s="5">
        <f t="shared" si="3"/>
        <v>4.000000000000007E-2</v>
      </c>
    </row>
    <row r="85" spans="1:16" x14ac:dyDescent="0.3">
      <c r="C85" t="s">
        <v>72</v>
      </c>
      <c r="K85" s="5" t="s">
        <v>94</v>
      </c>
      <c r="L85" s="5" t="s">
        <v>99</v>
      </c>
      <c r="M85" s="5">
        <f>SUM(N80:N89)/10</f>
        <v>5.2</v>
      </c>
      <c r="N85" s="5">
        <v>6</v>
      </c>
      <c r="O85" s="5">
        <v>5</v>
      </c>
      <c r="P85" s="5">
        <f t="shared" si="3"/>
        <v>0.63999999999999968</v>
      </c>
    </row>
    <row r="86" spans="1:16" x14ac:dyDescent="0.3">
      <c r="K86" s="5" t="s">
        <v>94</v>
      </c>
      <c r="L86" s="5" t="s">
        <v>100</v>
      </c>
      <c r="M86" s="5">
        <f>SUM(N80:N89)/10</f>
        <v>5.2</v>
      </c>
      <c r="N86" s="5">
        <v>3</v>
      </c>
      <c r="O86" s="5">
        <v>4</v>
      </c>
      <c r="P86" s="5">
        <f t="shared" si="3"/>
        <v>4.8400000000000007</v>
      </c>
    </row>
    <row r="87" spans="1:16" x14ac:dyDescent="0.3">
      <c r="B87" s="5" t="s">
        <v>67</v>
      </c>
      <c r="C87" s="5" t="s">
        <v>68</v>
      </c>
      <c r="D87" s="5" t="s">
        <v>11</v>
      </c>
      <c r="E87" s="5" t="s">
        <v>20</v>
      </c>
      <c r="F87" s="5" t="s">
        <v>21</v>
      </c>
      <c r="G87" s="5" t="s">
        <v>12</v>
      </c>
      <c r="K87" s="5" t="s">
        <v>94</v>
      </c>
      <c r="L87" s="5" t="s">
        <v>101</v>
      </c>
      <c r="M87" s="5">
        <f>SUM(N80:N89)/10</f>
        <v>5.2</v>
      </c>
      <c r="N87" s="5">
        <v>2</v>
      </c>
      <c r="O87" s="5">
        <v>5</v>
      </c>
      <c r="P87" s="5">
        <f t="shared" si="3"/>
        <v>10.240000000000002</v>
      </c>
    </row>
    <row r="88" spans="1:16" x14ac:dyDescent="0.3">
      <c r="B88" s="5"/>
      <c r="C88" s="5"/>
      <c r="D88" s="5"/>
      <c r="E88" s="5"/>
      <c r="F88" s="5"/>
      <c r="G88" s="5"/>
      <c r="K88" s="5" t="s">
        <v>94</v>
      </c>
      <c r="L88" s="5" t="s">
        <v>102</v>
      </c>
      <c r="M88" s="5">
        <f>SUM(N80:N89)/10</f>
        <v>5.2</v>
      </c>
      <c r="N88" s="5">
        <v>3</v>
      </c>
      <c r="O88" s="5">
        <v>6</v>
      </c>
      <c r="P88" s="5">
        <f t="shared" si="3"/>
        <v>4.8400000000000007</v>
      </c>
    </row>
    <row r="89" spans="1:16" x14ac:dyDescent="0.3">
      <c r="B89" s="5" t="s">
        <v>92</v>
      </c>
      <c r="C89" s="5" t="s">
        <v>19</v>
      </c>
      <c r="D89" s="5">
        <f>SUM(E89:E98)/10</f>
        <v>3.4</v>
      </c>
      <c r="E89" s="5">
        <v>4</v>
      </c>
      <c r="F89" s="5">
        <v>7</v>
      </c>
      <c r="G89" s="5">
        <f>(E89-D89)^2</f>
        <v>0.3600000000000001</v>
      </c>
      <c r="K89" s="5" t="s">
        <v>94</v>
      </c>
      <c r="L89" s="5" t="s">
        <v>103</v>
      </c>
      <c r="M89" s="5">
        <f>SUM(N80:N89)/10</f>
        <v>5.2</v>
      </c>
      <c r="N89" s="5">
        <v>2</v>
      </c>
      <c r="O89" s="5">
        <v>5</v>
      </c>
      <c r="P89" s="5">
        <f t="shared" si="3"/>
        <v>10.240000000000002</v>
      </c>
    </row>
    <row r="90" spans="1:16" x14ac:dyDescent="0.3">
      <c r="B90" s="5" t="s">
        <v>92</v>
      </c>
      <c r="C90" s="5" t="s">
        <v>104</v>
      </c>
      <c r="D90" s="5">
        <f>SUM(E89:E98)/10</f>
        <v>3.4</v>
      </c>
      <c r="E90" s="5">
        <v>0</v>
      </c>
      <c r="F90" s="5">
        <v>5</v>
      </c>
      <c r="G90" s="5">
        <f t="shared" ref="G90:G98" si="4">(E90-D90)^2</f>
        <v>11.559999999999999</v>
      </c>
    </row>
    <row r="91" spans="1:16" x14ac:dyDescent="0.3">
      <c r="B91" s="5" t="s">
        <v>92</v>
      </c>
      <c r="C91" s="5" t="s">
        <v>105</v>
      </c>
      <c r="D91" s="5">
        <f>SUM(E89:E98)/10</f>
        <v>3.4</v>
      </c>
      <c r="E91" s="5">
        <v>4</v>
      </c>
      <c r="F91" s="5">
        <v>3</v>
      </c>
      <c r="G91" s="5">
        <f t="shared" si="4"/>
        <v>0.3600000000000001</v>
      </c>
      <c r="M91" t="s">
        <v>13</v>
      </c>
      <c r="O91">
        <f>SUM(P80:P89)</f>
        <v>63.600000000000009</v>
      </c>
    </row>
    <row r="92" spans="1:16" x14ac:dyDescent="0.3">
      <c r="B92" s="5" t="s">
        <v>92</v>
      </c>
      <c r="C92" s="5" t="s">
        <v>106</v>
      </c>
      <c r="D92" s="5">
        <f>SUM(E89:E98)/10</f>
        <v>3.4</v>
      </c>
      <c r="E92" s="5">
        <v>6</v>
      </c>
      <c r="F92" s="5">
        <v>2</v>
      </c>
      <c r="G92" s="5">
        <f t="shared" si="4"/>
        <v>6.7600000000000007</v>
      </c>
      <c r="J92" t="s">
        <v>71</v>
      </c>
      <c r="K92">
        <f>SUM(N80:N89)</f>
        <v>52</v>
      </c>
      <c r="M92" t="s">
        <v>69</v>
      </c>
      <c r="O92">
        <f>O91/10</f>
        <v>6.3600000000000012</v>
      </c>
    </row>
    <row r="93" spans="1:16" x14ac:dyDescent="0.3">
      <c r="B93" s="5" t="s">
        <v>92</v>
      </c>
      <c r="C93" s="5" t="s">
        <v>107</v>
      </c>
      <c r="D93" s="5">
        <f>SUM(E89:E98)/10</f>
        <v>3.4</v>
      </c>
      <c r="E93" s="5">
        <v>2</v>
      </c>
      <c r="F93" s="5">
        <v>4</v>
      </c>
      <c r="G93" s="5">
        <f t="shared" si="4"/>
        <v>1.9599999999999997</v>
      </c>
      <c r="M93" s="7" t="s">
        <v>14</v>
      </c>
      <c r="N93" s="7"/>
      <c r="O93" s="7">
        <f>SQRT(O92)</f>
        <v>2.5219040425836985</v>
      </c>
    </row>
    <row r="94" spans="1:16" x14ac:dyDescent="0.3">
      <c r="B94" s="5" t="s">
        <v>92</v>
      </c>
      <c r="C94" s="5" t="s">
        <v>108</v>
      </c>
      <c r="D94" s="5">
        <f>SUM(E89:E98)/10</f>
        <v>3.4</v>
      </c>
      <c r="E94" s="5">
        <v>1</v>
      </c>
      <c r="F94" s="5">
        <v>9</v>
      </c>
      <c r="G94" s="5">
        <f t="shared" si="4"/>
        <v>5.76</v>
      </c>
      <c r="M94" t="s">
        <v>15</v>
      </c>
      <c r="O94" s="4">
        <f>SQRT(O92)</f>
        <v>2.5219040425836985</v>
      </c>
    </row>
    <row r="95" spans="1:16" x14ac:dyDescent="0.3">
      <c r="B95" s="5" t="s">
        <v>92</v>
      </c>
      <c r="C95" s="5" t="s">
        <v>109</v>
      </c>
      <c r="D95" s="5">
        <f>SUM(E89:E98)/10</f>
        <v>3.4</v>
      </c>
      <c r="E95" s="5">
        <v>4</v>
      </c>
      <c r="F95" s="5">
        <v>3</v>
      </c>
      <c r="G95" s="5">
        <f t="shared" si="4"/>
        <v>0.3600000000000001</v>
      </c>
    </row>
    <row r="96" spans="1:16" x14ac:dyDescent="0.3">
      <c r="B96" s="5" t="s">
        <v>92</v>
      </c>
      <c r="C96" s="5" t="s">
        <v>110</v>
      </c>
      <c r="D96" s="5">
        <f>SUM(E89:E98)/10</f>
        <v>3.4</v>
      </c>
      <c r="E96" s="5">
        <v>5</v>
      </c>
      <c r="F96" s="5">
        <v>2</v>
      </c>
      <c r="G96" s="5">
        <f t="shared" si="4"/>
        <v>2.5600000000000005</v>
      </c>
      <c r="M96" t="s">
        <v>70</v>
      </c>
      <c r="O96" s="4">
        <f>(1- NORMDIST(10.5,N20,O93,TRUE))*100</f>
        <v>1.7794747867403093</v>
      </c>
      <c r="P96" t="s">
        <v>7</v>
      </c>
    </row>
    <row r="97" spans="1:16" x14ac:dyDescent="0.3">
      <c r="B97" s="5" t="s">
        <v>92</v>
      </c>
      <c r="C97" s="5" t="s">
        <v>111</v>
      </c>
      <c r="D97" s="5">
        <f>SUM(E89:E98)/10</f>
        <v>3.4</v>
      </c>
      <c r="E97" s="5">
        <v>5</v>
      </c>
      <c r="F97" s="5">
        <v>0</v>
      </c>
      <c r="G97" s="5">
        <f t="shared" si="4"/>
        <v>2.5600000000000005</v>
      </c>
    </row>
    <row r="98" spans="1:16" x14ac:dyDescent="0.3">
      <c r="B98" s="5" t="s">
        <v>92</v>
      </c>
      <c r="C98" s="5" t="s">
        <v>112</v>
      </c>
      <c r="D98" s="5">
        <f>SUM(E89:E98)/10</f>
        <v>3.4</v>
      </c>
      <c r="E98" s="5">
        <v>3</v>
      </c>
      <c r="F98" s="5">
        <v>4</v>
      </c>
      <c r="G98" s="5">
        <f t="shared" si="4"/>
        <v>0.15999999999999992</v>
      </c>
    </row>
    <row r="100" spans="1:16" x14ac:dyDescent="0.3">
      <c r="D100" t="s">
        <v>13</v>
      </c>
      <c r="F100">
        <f>SUM(G89:G98)</f>
        <v>32.4</v>
      </c>
    </row>
    <row r="101" spans="1:16" x14ac:dyDescent="0.3">
      <c r="A101" t="s">
        <v>71</v>
      </c>
      <c r="B101">
        <f>SUM(E89:E98)</f>
        <v>34</v>
      </c>
      <c r="D101" t="s">
        <v>69</v>
      </c>
      <c r="F101">
        <f>F100/10</f>
        <v>3.2399999999999998</v>
      </c>
    </row>
    <row r="102" spans="1:16" x14ac:dyDescent="0.3">
      <c r="D102" s="7" t="s">
        <v>14</v>
      </c>
      <c r="E102" s="7"/>
      <c r="F102" s="7">
        <f>SQRT(F101)</f>
        <v>1.8</v>
      </c>
      <c r="L102" t="s">
        <v>51</v>
      </c>
    </row>
    <row r="103" spans="1:16" x14ac:dyDescent="0.3">
      <c r="D103" t="s">
        <v>15</v>
      </c>
      <c r="F103" s="4">
        <f>SQRT(F101)</f>
        <v>1.8</v>
      </c>
    </row>
    <row r="104" spans="1:16" x14ac:dyDescent="0.3">
      <c r="K104" s="5" t="s">
        <v>67</v>
      </c>
      <c r="L104" s="5" t="s">
        <v>68</v>
      </c>
      <c r="M104" s="5" t="s">
        <v>11</v>
      </c>
      <c r="N104" s="5" t="s">
        <v>21</v>
      </c>
      <c r="O104" s="5" t="s">
        <v>20</v>
      </c>
      <c r="P104" s="5" t="s">
        <v>12</v>
      </c>
    </row>
    <row r="105" spans="1:16" x14ac:dyDescent="0.3">
      <c r="D105" t="s">
        <v>70</v>
      </c>
      <c r="F105" s="4">
        <f>(1- NORMDIST(10.5,C20,F102,TRUE))*100</f>
        <v>3.9992596685300974E-3</v>
      </c>
      <c r="G105" t="s">
        <v>7</v>
      </c>
      <c r="K105" s="5"/>
      <c r="L105" s="5"/>
      <c r="M105" s="5"/>
      <c r="N105" s="5"/>
      <c r="O105" s="5"/>
      <c r="P105" s="5"/>
    </row>
    <row r="106" spans="1:16" x14ac:dyDescent="0.3">
      <c r="K106" s="5" t="s">
        <v>94</v>
      </c>
      <c r="L106" s="5" t="s">
        <v>95</v>
      </c>
      <c r="M106" s="5">
        <f>SUM(N106:N115)/10</f>
        <v>17.2</v>
      </c>
      <c r="N106" s="5">
        <v>20</v>
      </c>
      <c r="O106" s="5">
        <v>6</v>
      </c>
      <c r="P106" s="5">
        <f>(N106-M106)^2</f>
        <v>7.8400000000000043</v>
      </c>
    </row>
    <row r="107" spans="1:16" x14ac:dyDescent="0.3">
      <c r="C107" t="s">
        <v>51</v>
      </c>
      <c r="K107" s="5" t="s">
        <v>94</v>
      </c>
      <c r="L107" s="5" t="s">
        <v>10</v>
      </c>
      <c r="M107" s="5">
        <f>SUM(N106:N115)/10</f>
        <v>17.2</v>
      </c>
      <c r="N107" s="5">
        <v>19</v>
      </c>
      <c r="O107" s="5">
        <v>14</v>
      </c>
      <c r="P107" s="5">
        <f t="shared" ref="P107:P115" si="5">(N107-M107)^2</f>
        <v>3.2400000000000024</v>
      </c>
    </row>
    <row r="108" spans="1:16" x14ac:dyDescent="0.3">
      <c r="K108" s="5" t="s">
        <v>94</v>
      </c>
      <c r="L108" s="5" t="s">
        <v>96</v>
      </c>
      <c r="M108" s="5">
        <f>SUM(N106:N115)/10</f>
        <v>17.2</v>
      </c>
      <c r="N108" s="5">
        <v>28</v>
      </c>
      <c r="O108" s="5">
        <v>8</v>
      </c>
      <c r="P108" s="5">
        <f t="shared" si="5"/>
        <v>116.64000000000001</v>
      </c>
    </row>
    <row r="109" spans="1:16" x14ac:dyDescent="0.3">
      <c r="B109" s="5" t="s">
        <v>67</v>
      </c>
      <c r="C109" s="5" t="s">
        <v>68</v>
      </c>
      <c r="D109" s="5" t="s">
        <v>11</v>
      </c>
      <c r="E109" s="5" t="s">
        <v>20</v>
      </c>
      <c r="F109" s="5" t="s">
        <v>21</v>
      </c>
      <c r="G109" s="5" t="s">
        <v>12</v>
      </c>
      <c r="K109" s="5" t="s">
        <v>94</v>
      </c>
      <c r="L109" s="5" t="s">
        <v>97</v>
      </c>
      <c r="M109" s="5">
        <f>SUM(N106:N115)/10</f>
        <v>17.2</v>
      </c>
      <c r="N109" s="5">
        <v>33</v>
      </c>
      <c r="O109" s="5">
        <v>4</v>
      </c>
      <c r="P109" s="5">
        <f t="shared" si="5"/>
        <v>249.64000000000001</v>
      </c>
    </row>
    <row r="110" spans="1:16" x14ac:dyDescent="0.3">
      <c r="B110" s="5"/>
      <c r="C110" s="5"/>
      <c r="D110" s="5"/>
      <c r="E110" s="5"/>
      <c r="F110" s="5"/>
      <c r="G110" s="5"/>
      <c r="K110" s="5" t="s">
        <v>94</v>
      </c>
      <c r="L110" s="5" t="s">
        <v>98</v>
      </c>
      <c r="M110" s="5">
        <f>SUM(N106:N115)/10</f>
        <v>17.2</v>
      </c>
      <c r="N110" s="5">
        <v>17</v>
      </c>
      <c r="O110" s="5">
        <v>8</v>
      </c>
      <c r="P110" s="5">
        <f t="shared" si="5"/>
        <v>3.9999999999999716E-2</v>
      </c>
    </row>
    <row r="111" spans="1:16" x14ac:dyDescent="0.3">
      <c r="B111" s="5" t="s">
        <v>92</v>
      </c>
      <c r="C111" s="5" t="s">
        <v>19</v>
      </c>
      <c r="D111" s="5">
        <f>SUM(E111:E120)/10</f>
        <v>12.7</v>
      </c>
      <c r="E111" s="5">
        <v>11</v>
      </c>
      <c r="F111" s="5">
        <v>10</v>
      </c>
      <c r="G111" s="5">
        <f>(E111-D111)^2</f>
        <v>2.8899999999999975</v>
      </c>
      <c r="K111" s="5" t="s">
        <v>94</v>
      </c>
      <c r="L111" s="5" t="s">
        <v>99</v>
      </c>
      <c r="M111" s="5">
        <f>SUM(N106:N115)/10</f>
        <v>17.2</v>
      </c>
      <c r="N111" s="5">
        <v>12</v>
      </c>
      <c r="O111" s="5">
        <v>12</v>
      </c>
      <c r="P111" s="5">
        <f t="shared" si="5"/>
        <v>27.039999999999992</v>
      </c>
    </row>
    <row r="112" spans="1:16" x14ac:dyDescent="0.3">
      <c r="B112" s="5" t="s">
        <v>92</v>
      </c>
      <c r="C112" s="5" t="s">
        <v>104</v>
      </c>
      <c r="D112" s="5">
        <f>SUM(E111:E120)/10</f>
        <v>12.7</v>
      </c>
      <c r="E112" s="5">
        <v>13</v>
      </c>
      <c r="F112" s="5">
        <v>16</v>
      </c>
      <c r="G112" s="5">
        <f t="shared" ref="G112:G120" si="6">(E112-D112)^2</f>
        <v>9.0000000000000427E-2</v>
      </c>
      <c r="K112" s="5" t="s">
        <v>94</v>
      </c>
      <c r="L112" s="5" t="s">
        <v>100</v>
      </c>
      <c r="M112" s="5">
        <f>SUM(N106:N115)/10</f>
        <v>17.2</v>
      </c>
      <c r="N112" s="5">
        <v>13</v>
      </c>
      <c r="O112" s="5">
        <v>14</v>
      </c>
      <c r="P112" s="5">
        <f t="shared" si="5"/>
        <v>17.639999999999993</v>
      </c>
    </row>
    <row r="113" spans="1:16" x14ac:dyDescent="0.3">
      <c r="B113" s="5" t="s">
        <v>92</v>
      </c>
      <c r="C113" s="5" t="s">
        <v>105</v>
      </c>
      <c r="D113" s="5">
        <f>SUM(E111:E120)/10</f>
        <v>12.7</v>
      </c>
      <c r="E113" s="5">
        <v>11</v>
      </c>
      <c r="F113" s="5">
        <v>12</v>
      </c>
      <c r="G113" s="5">
        <f t="shared" si="6"/>
        <v>2.8899999999999975</v>
      </c>
      <c r="K113" s="5" t="s">
        <v>94</v>
      </c>
      <c r="L113" s="5" t="s">
        <v>101</v>
      </c>
      <c r="M113" s="5">
        <f>SUM(N106:N115)/10</f>
        <v>17.2</v>
      </c>
      <c r="N113" s="5">
        <v>10</v>
      </c>
      <c r="O113" s="5">
        <v>20</v>
      </c>
      <c r="P113" s="5">
        <f t="shared" si="5"/>
        <v>51.839999999999989</v>
      </c>
    </row>
    <row r="114" spans="1:16" x14ac:dyDescent="0.3">
      <c r="B114" s="5" t="s">
        <v>92</v>
      </c>
      <c r="C114" s="5" t="s">
        <v>106</v>
      </c>
      <c r="D114" s="5">
        <f>SUM(E111:E120)/10</f>
        <v>12.7</v>
      </c>
      <c r="E114" s="5">
        <v>16</v>
      </c>
      <c r="F114" s="5">
        <v>12</v>
      </c>
      <c r="G114" s="5">
        <f t="shared" si="6"/>
        <v>10.890000000000004</v>
      </c>
      <c r="K114" s="5" t="s">
        <v>94</v>
      </c>
      <c r="L114" s="5" t="s">
        <v>102</v>
      </c>
      <c r="M114" s="5">
        <f>SUM(N106:N115)/10</f>
        <v>17.2</v>
      </c>
      <c r="N114" s="5">
        <v>10</v>
      </c>
      <c r="O114" s="5">
        <v>10</v>
      </c>
      <c r="P114" s="5">
        <f t="shared" si="5"/>
        <v>51.839999999999989</v>
      </c>
    </row>
    <row r="115" spans="1:16" x14ac:dyDescent="0.3">
      <c r="B115" s="5" t="s">
        <v>92</v>
      </c>
      <c r="C115" s="5" t="s">
        <v>107</v>
      </c>
      <c r="D115" s="5">
        <f>SUM(E111:E120)/10</f>
        <v>12.7</v>
      </c>
      <c r="E115" s="5">
        <v>12</v>
      </c>
      <c r="F115" s="5">
        <v>6</v>
      </c>
      <c r="G115" s="5">
        <f t="shared" si="6"/>
        <v>0.48999999999999899</v>
      </c>
      <c r="K115" s="5" t="s">
        <v>94</v>
      </c>
      <c r="L115" s="5" t="s">
        <v>103</v>
      </c>
      <c r="M115" s="5">
        <f>SUM(N106:N115)/10</f>
        <v>17.2</v>
      </c>
      <c r="N115" s="5">
        <v>10</v>
      </c>
      <c r="O115" s="5">
        <v>9</v>
      </c>
      <c r="P115" s="5">
        <f t="shared" si="5"/>
        <v>51.839999999999989</v>
      </c>
    </row>
    <row r="116" spans="1:16" x14ac:dyDescent="0.3">
      <c r="B116" s="5" t="s">
        <v>92</v>
      </c>
      <c r="C116" s="5" t="s">
        <v>108</v>
      </c>
      <c r="D116" s="5">
        <f>SUM(E111:E120)/10</f>
        <v>12.7</v>
      </c>
      <c r="E116" s="5">
        <v>8</v>
      </c>
      <c r="F116" s="5">
        <v>14</v>
      </c>
      <c r="G116" s="5">
        <f t="shared" si="6"/>
        <v>22.089999999999993</v>
      </c>
    </row>
    <row r="117" spans="1:16" x14ac:dyDescent="0.3">
      <c r="B117" s="5" t="s">
        <v>92</v>
      </c>
      <c r="C117" s="5" t="s">
        <v>109</v>
      </c>
      <c r="D117" s="5">
        <f>SUM(E111:E120)/10</f>
        <v>12.7</v>
      </c>
      <c r="E117" s="5">
        <v>8</v>
      </c>
      <c r="F117" s="5">
        <v>11</v>
      </c>
      <c r="G117" s="5">
        <f t="shared" si="6"/>
        <v>22.089999999999993</v>
      </c>
      <c r="M117" t="s">
        <v>13</v>
      </c>
      <c r="O117">
        <f>SUM(P106:P115)</f>
        <v>577.6</v>
      </c>
    </row>
    <row r="118" spans="1:16" x14ac:dyDescent="0.3">
      <c r="B118" s="5" t="s">
        <v>92</v>
      </c>
      <c r="C118" s="5" t="s">
        <v>110</v>
      </c>
      <c r="D118" s="5">
        <f>SUM(E111:E120)/10</f>
        <v>12.7</v>
      </c>
      <c r="E118" s="5">
        <v>22</v>
      </c>
      <c r="F118" s="5">
        <v>6</v>
      </c>
      <c r="G118" s="5">
        <f t="shared" si="6"/>
        <v>86.490000000000009</v>
      </c>
      <c r="M118" t="s">
        <v>69</v>
      </c>
      <c r="O118">
        <f>O117/10</f>
        <v>57.760000000000005</v>
      </c>
    </row>
    <row r="119" spans="1:16" x14ac:dyDescent="0.3">
      <c r="B119" s="5" t="s">
        <v>92</v>
      </c>
      <c r="C119" s="5" t="s">
        <v>111</v>
      </c>
      <c r="D119" s="5">
        <f>SUM(E111:E120)/10</f>
        <v>12.7</v>
      </c>
      <c r="E119" s="5">
        <v>10</v>
      </c>
      <c r="F119" s="5">
        <v>7</v>
      </c>
      <c r="G119" s="5">
        <f t="shared" si="6"/>
        <v>7.2899999999999965</v>
      </c>
      <c r="J119" t="s">
        <v>53</v>
      </c>
      <c r="K119">
        <f>SUM(N106:N115)</f>
        <v>172</v>
      </c>
      <c r="M119" s="7" t="s">
        <v>14</v>
      </c>
      <c r="N119" s="7"/>
      <c r="O119" s="7">
        <f>SQRT(O118)</f>
        <v>7.6000000000000005</v>
      </c>
    </row>
    <row r="120" spans="1:16" x14ac:dyDescent="0.3">
      <c r="B120" s="5" t="s">
        <v>92</v>
      </c>
      <c r="C120" s="5" t="s">
        <v>112</v>
      </c>
      <c r="D120" s="5">
        <f>SUM(E111:E120)/10</f>
        <v>12.7</v>
      </c>
      <c r="E120" s="5">
        <v>16</v>
      </c>
      <c r="F120" s="5">
        <v>8</v>
      </c>
      <c r="G120" s="5">
        <f t="shared" si="6"/>
        <v>10.890000000000004</v>
      </c>
      <c r="M120" t="s">
        <v>15</v>
      </c>
      <c r="O120" s="4">
        <f>SQRT(O118)</f>
        <v>7.6000000000000005</v>
      </c>
    </row>
    <row r="122" spans="1:16" x14ac:dyDescent="0.3">
      <c r="D122" t="s">
        <v>13</v>
      </c>
      <c r="F122">
        <f>SUM(G111:G120)</f>
        <v>166.1</v>
      </c>
      <c r="M122" t="s">
        <v>70</v>
      </c>
      <c r="O122" s="4">
        <f>(1- NORMDIST(24.5,N22,O119,TRUE))*100</f>
        <v>16.839519653689937</v>
      </c>
      <c r="P122" t="s">
        <v>7</v>
      </c>
    </row>
    <row r="123" spans="1:16" x14ac:dyDescent="0.3">
      <c r="D123" t="s">
        <v>69</v>
      </c>
      <c r="F123">
        <f>F122/10</f>
        <v>16.61</v>
      </c>
    </row>
    <row r="124" spans="1:16" x14ac:dyDescent="0.3">
      <c r="D124" s="7" t="s">
        <v>14</v>
      </c>
      <c r="E124" s="7"/>
      <c r="F124" s="7">
        <f>SQRT(F123)</f>
        <v>4.0755367744629662</v>
      </c>
    </row>
    <row r="125" spans="1:16" x14ac:dyDescent="0.3">
      <c r="D125" t="s">
        <v>15</v>
      </c>
      <c r="F125" s="4">
        <f>SQRT(F123)</f>
        <v>4.0755367744629662</v>
      </c>
    </row>
    <row r="126" spans="1:16" x14ac:dyDescent="0.3">
      <c r="A126" t="s">
        <v>87</v>
      </c>
      <c r="B126">
        <f>SUM(E111:E120)</f>
        <v>127</v>
      </c>
    </row>
    <row r="127" spans="1:16" x14ac:dyDescent="0.3">
      <c r="D127" t="s">
        <v>70</v>
      </c>
      <c r="F127" s="4">
        <f>(1- NORMDIST(24.5,C22,F124,TRUE))*100</f>
        <v>0.18938359808098326</v>
      </c>
      <c r="G127" t="s">
        <v>7</v>
      </c>
    </row>
    <row r="129" spans="2:16" x14ac:dyDescent="0.3">
      <c r="L129" t="s">
        <v>73</v>
      </c>
      <c r="N129" t="s">
        <v>74</v>
      </c>
    </row>
    <row r="130" spans="2:16" x14ac:dyDescent="0.3">
      <c r="E130" t="s">
        <v>88</v>
      </c>
      <c r="F130" t="s">
        <v>89</v>
      </c>
    </row>
    <row r="131" spans="2:16" x14ac:dyDescent="0.3">
      <c r="C131" t="s">
        <v>73</v>
      </c>
      <c r="K131" s="5" t="s">
        <v>67</v>
      </c>
      <c r="L131" s="5" t="s">
        <v>68</v>
      </c>
      <c r="M131" s="5" t="s">
        <v>11</v>
      </c>
      <c r="N131" s="5" t="s">
        <v>21</v>
      </c>
      <c r="O131" s="5" t="s">
        <v>20</v>
      </c>
      <c r="P131" s="5" t="s">
        <v>12</v>
      </c>
    </row>
    <row r="132" spans="2:16" x14ac:dyDescent="0.3">
      <c r="K132" s="5"/>
      <c r="L132" s="5"/>
      <c r="M132" s="5"/>
      <c r="N132" s="5"/>
      <c r="O132" s="5"/>
      <c r="P132" s="5"/>
    </row>
    <row r="133" spans="2:16" x14ac:dyDescent="0.3">
      <c r="B133" s="5" t="s">
        <v>67</v>
      </c>
      <c r="C133" s="5" t="s">
        <v>68</v>
      </c>
      <c r="D133" s="5" t="s">
        <v>11</v>
      </c>
      <c r="E133" s="5" t="s">
        <v>20</v>
      </c>
      <c r="F133" s="5" t="s">
        <v>21</v>
      </c>
      <c r="G133" s="5" t="s">
        <v>12</v>
      </c>
      <c r="K133" s="5" t="s">
        <v>94</v>
      </c>
      <c r="L133" s="5" t="s">
        <v>95</v>
      </c>
      <c r="M133" s="5">
        <f>SUM(N133:N142)/10</f>
        <v>2.5</v>
      </c>
      <c r="N133" s="1">
        <v>3</v>
      </c>
      <c r="O133" s="1">
        <v>4</v>
      </c>
      <c r="P133" s="5">
        <f>(N133-M133)^2</f>
        <v>0.25</v>
      </c>
    </row>
    <row r="134" spans="2:16" x14ac:dyDescent="0.3">
      <c r="B134" s="5"/>
      <c r="C134" s="5"/>
      <c r="D134" s="5"/>
      <c r="E134" s="5"/>
      <c r="F134" s="5"/>
      <c r="G134" s="5"/>
      <c r="K134" s="5" t="s">
        <v>94</v>
      </c>
      <c r="L134" s="5" t="s">
        <v>10</v>
      </c>
      <c r="M134" s="5">
        <f>SUM(N133:N142)/10</f>
        <v>2.5</v>
      </c>
      <c r="N134" s="1">
        <v>5</v>
      </c>
      <c r="O134" s="1">
        <v>5</v>
      </c>
      <c r="P134" s="5">
        <f t="shared" ref="P134:P142" si="7">(N134-M134)^2</f>
        <v>6.25</v>
      </c>
    </row>
    <row r="135" spans="2:16" x14ac:dyDescent="0.3">
      <c r="B135" s="5" t="s">
        <v>92</v>
      </c>
      <c r="C135" s="5" t="s">
        <v>19</v>
      </c>
      <c r="D135" s="5">
        <f>SUM(E135:E144)/10</f>
        <v>2.1</v>
      </c>
      <c r="E135" s="5">
        <v>1</v>
      </c>
      <c r="F135" s="5">
        <v>2</v>
      </c>
      <c r="G135" s="5">
        <f>(E135-D135)^2</f>
        <v>1.2100000000000002</v>
      </c>
      <c r="K135" s="5" t="s">
        <v>94</v>
      </c>
      <c r="L135" s="5" t="s">
        <v>96</v>
      </c>
      <c r="M135" s="5">
        <f>SUM(N133:N142)/10</f>
        <v>2.5</v>
      </c>
      <c r="N135" s="1">
        <v>4</v>
      </c>
      <c r="O135" s="1">
        <v>2</v>
      </c>
      <c r="P135" s="5">
        <f t="shared" si="7"/>
        <v>2.25</v>
      </c>
    </row>
    <row r="136" spans="2:16" x14ac:dyDescent="0.3">
      <c r="B136" s="5" t="s">
        <v>92</v>
      </c>
      <c r="C136" s="5" t="s">
        <v>104</v>
      </c>
      <c r="D136" s="5">
        <f>SUM(E135:E144)/10</f>
        <v>2.1</v>
      </c>
      <c r="E136" s="5">
        <v>3</v>
      </c>
      <c r="F136" s="5">
        <v>3</v>
      </c>
      <c r="G136" s="5">
        <f t="shared" ref="G136:G144" si="8">(E136-D136)^2</f>
        <v>0.80999999999999983</v>
      </c>
      <c r="K136" s="5" t="s">
        <v>94</v>
      </c>
      <c r="L136" s="5" t="s">
        <v>97</v>
      </c>
      <c r="M136" s="5">
        <f>SUM(N133:N142)/10</f>
        <v>2.5</v>
      </c>
      <c r="N136" s="1">
        <v>0</v>
      </c>
      <c r="O136" s="1">
        <v>1</v>
      </c>
      <c r="P136" s="5">
        <f t="shared" si="7"/>
        <v>6.25</v>
      </c>
    </row>
    <row r="137" spans="2:16" x14ac:dyDescent="0.3">
      <c r="B137" s="5" t="s">
        <v>92</v>
      </c>
      <c r="C137" s="5" t="s">
        <v>105</v>
      </c>
      <c r="D137" s="5">
        <f>SUM(E135:E144)/10</f>
        <v>2.1</v>
      </c>
      <c r="E137" s="5">
        <v>3</v>
      </c>
      <c r="F137" s="5">
        <v>2</v>
      </c>
      <c r="G137" s="5">
        <f t="shared" si="8"/>
        <v>0.80999999999999983</v>
      </c>
      <c r="K137" s="5" t="s">
        <v>94</v>
      </c>
      <c r="L137" s="5" t="s">
        <v>98</v>
      </c>
      <c r="M137" s="5">
        <f>SUM(N133:N142)/10</f>
        <v>2.5</v>
      </c>
      <c r="N137" s="1">
        <v>4</v>
      </c>
      <c r="O137" s="1">
        <v>2</v>
      </c>
      <c r="P137" s="5">
        <f t="shared" si="7"/>
        <v>2.25</v>
      </c>
    </row>
    <row r="138" spans="2:16" x14ac:dyDescent="0.3">
      <c r="B138" s="5" t="s">
        <v>92</v>
      </c>
      <c r="C138" s="5" t="s">
        <v>106</v>
      </c>
      <c r="D138" s="5">
        <f>SUM(E135:E144)/10</f>
        <v>2.1</v>
      </c>
      <c r="E138" s="5">
        <v>0</v>
      </c>
      <c r="F138" s="5">
        <v>2</v>
      </c>
      <c r="G138" s="5">
        <f t="shared" si="8"/>
        <v>4.41</v>
      </c>
      <c r="K138" s="5" t="s">
        <v>94</v>
      </c>
      <c r="L138" s="5" t="s">
        <v>99</v>
      </c>
      <c r="M138" s="5">
        <f>SUM(N133:N142)/10</f>
        <v>2.5</v>
      </c>
      <c r="N138" s="1">
        <v>0</v>
      </c>
      <c r="O138" s="1">
        <v>2</v>
      </c>
      <c r="P138" s="5">
        <f t="shared" si="7"/>
        <v>6.25</v>
      </c>
    </row>
    <row r="139" spans="2:16" x14ac:dyDescent="0.3">
      <c r="B139" s="5" t="s">
        <v>92</v>
      </c>
      <c r="C139" s="5" t="s">
        <v>107</v>
      </c>
      <c r="D139" s="5">
        <f>SUM(E135:E144)/10</f>
        <v>2.1</v>
      </c>
      <c r="E139" s="5">
        <v>2</v>
      </c>
      <c r="F139" s="5">
        <v>2</v>
      </c>
      <c r="G139" s="5">
        <f t="shared" si="8"/>
        <v>1.0000000000000018E-2</v>
      </c>
      <c r="K139" s="5" t="s">
        <v>94</v>
      </c>
      <c r="L139" s="5" t="s">
        <v>100</v>
      </c>
      <c r="M139" s="5">
        <f>SUM(N133:N142)/10</f>
        <v>2.5</v>
      </c>
      <c r="N139" s="1">
        <v>2</v>
      </c>
      <c r="O139" s="1">
        <v>4</v>
      </c>
      <c r="P139" s="5">
        <f t="shared" si="7"/>
        <v>0.25</v>
      </c>
    </row>
    <row r="140" spans="2:16" x14ac:dyDescent="0.3">
      <c r="B140" s="5" t="s">
        <v>92</v>
      </c>
      <c r="C140" s="5" t="s">
        <v>108</v>
      </c>
      <c r="D140" s="5">
        <f>SUM(E135:E144)/10</f>
        <v>2.1</v>
      </c>
      <c r="E140" s="5">
        <v>5</v>
      </c>
      <c r="F140" s="5">
        <v>1</v>
      </c>
      <c r="G140" s="5">
        <f t="shared" si="8"/>
        <v>8.41</v>
      </c>
      <c r="K140" s="5" t="s">
        <v>94</v>
      </c>
      <c r="L140" s="5" t="s">
        <v>101</v>
      </c>
      <c r="M140" s="5">
        <f>SUM(N133:N142)/10</f>
        <v>2.5</v>
      </c>
      <c r="N140" s="1">
        <v>2</v>
      </c>
      <c r="O140" s="1">
        <v>1</v>
      </c>
      <c r="P140" s="5">
        <f t="shared" si="7"/>
        <v>0.25</v>
      </c>
    </row>
    <row r="141" spans="2:16" x14ac:dyDescent="0.3">
      <c r="B141" s="5" t="s">
        <v>92</v>
      </c>
      <c r="C141" s="5" t="s">
        <v>109</v>
      </c>
      <c r="D141" s="5">
        <f>SUM(E135:E144)/10</f>
        <v>2.1</v>
      </c>
      <c r="E141" s="5">
        <v>1</v>
      </c>
      <c r="F141" s="5">
        <v>1</v>
      </c>
      <c r="G141" s="5">
        <f t="shared" si="8"/>
        <v>1.2100000000000002</v>
      </c>
      <c r="K141" s="5" t="s">
        <v>94</v>
      </c>
      <c r="L141" s="5" t="s">
        <v>102</v>
      </c>
      <c r="M141" s="5">
        <f>SUM(N133:N142)/10</f>
        <v>2.5</v>
      </c>
      <c r="N141" s="1">
        <v>2</v>
      </c>
      <c r="O141" s="1">
        <v>3</v>
      </c>
      <c r="P141" s="5">
        <f t="shared" si="7"/>
        <v>0.25</v>
      </c>
    </row>
    <row r="142" spans="2:16" x14ac:dyDescent="0.3">
      <c r="B142" s="5" t="s">
        <v>92</v>
      </c>
      <c r="C142" s="5" t="s">
        <v>110</v>
      </c>
      <c r="D142" s="5">
        <f>SUM(E135:E144)/10</f>
        <v>2.1</v>
      </c>
      <c r="E142" s="5">
        <v>0</v>
      </c>
      <c r="F142" s="5">
        <v>5</v>
      </c>
      <c r="G142" s="5">
        <f t="shared" si="8"/>
        <v>4.41</v>
      </c>
      <c r="K142" s="5" t="s">
        <v>94</v>
      </c>
      <c r="L142" s="5" t="s">
        <v>103</v>
      </c>
      <c r="M142" s="5">
        <f>SUM(N133:N142)/10</f>
        <v>2.5</v>
      </c>
      <c r="N142" s="1">
        <v>3</v>
      </c>
      <c r="O142" s="1">
        <v>3</v>
      </c>
      <c r="P142" s="5">
        <f t="shared" si="7"/>
        <v>0.25</v>
      </c>
    </row>
    <row r="143" spans="2:16" x14ac:dyDescent="0.3">
      <c r="B143" s="5" t="s">
        <v>92</v>
      </c>
      <c r="C143" s="5" t="s">
        <v>111</v>
      </c>
      <c r="D143" s="5">
        <f>SUM(E135:E144)/10</f>
        <v>2.1</v>
      </c>
      <c r="E143" s="5">
        <v>4</v>
      </c>
      <c r="F143" s="5">
        <v>1</v>
      </c>
      <c r="G143" s="5">
        <f t="shared" si="8"/>
        <v>3.61</v>
      </c>
    </row>
    <row r="144" spans="2:16" x14ac:dyDescent="0.3">
      <c r="B144" s="5" t="s">
        <v>92</v>
      </c>
      <c r="C144" s="5" t="s">
        <v>112</v>
      </c>
      <c r="D144" s="5">
        <f>SUM(E135:E144)/10</f>
        <v>2.1</v>
      </c>
      <c r="E144" s="5">
        <v>2</v>
      </c>
      <c r="F144" s="5">
        <v>3</v>
      </c>
      <c r="G144" s="5">
        <f t="shared" si="8"/>
        <v>1.0000000000000018E-2</v>
      </c>
      <c r="M144" t="s">
        <v>13</v>
      </c>
      <c r="O144">
        <f>SUM(P133:P142)</f>
        <v>24.5</v>
      </c>
    </row>
    <row r="145" spans="1:16" x14ac:dyDescent="0.3">
      <c r="M145" t="s">
        <v>69</v>
      </c>
      <c r="O145">
        <f>O144/10</f>
        <v>2.4500000000000002</v>
      </c>
    </row>
    <row r="146" spans="1:16" x14ac:dyDescent="0.3">
      <c r="D146" t="s">
        <v>13</v>
      </c>
      <c r="F146">
        <f>SUM(G135:G144)</f>
        <v>24.900000000000002</v>
      </c>
      <c r="M146" s="7" t="s">
        <v>14</v>
      </c>
      <c r="N146" s="7"/>
      <c r="O146" s="7">
        <f>SQRT(O145)</f>
        <v>1.5652475842498528</v>
      </c>
    </row>
    <row r="147" spans="1:16" x14ac:dyDescent="0.3">
      <c r="D147" t="s">
        <v>69</v>
      </c>
      <c r="F147">
        <f>F146/10</f>
        <v>2.4900000000000002</v>
      </c>
      <c r="M147" t="s">
        <v>15</v>
      </c>
      <c r="O147" s="4">
        <f>SQRT(O145)</f>
        <v>1.5652475842498528</v>
      </c>
    </row>
    <row r="148" spans="1:16" x14ac:dyDescent="0.3">
      <c r="D148" s="7" t="s">
        <v>14</v>
      </c>
      <c r="E148" s="7"/>
      <c r="F148" s="7">
        <f>SQRT(F147)</f>
        <v>1.57797338380595</v>
      </c>
    </row>
    <row r="149" spans="1:16" x14ac:dyDescent="0.3">
      <c r="D149" t="s">
        <v>15</v>
      </c>
      <c r="F149" s="4">
        <f>SQRT(F147)</f>
        <v>1.57797338380595</v>
      </c>
      <c r="M149" t="s">
        <v>70</v>
      </c>
      <c r="O149" s="4">
        <f>(1- NORMDIST(3.5,N24,O146,TRUE))*100</f>
        <v>26.145161725633525</v>
      </c>
      <c r="P149" t="s">
        <v>7</v>
      </c>
    </row>
    <row r="150" spans="1:16" x14ac:dyDescent="0.3">
      <c r="A150" t="s">
        <v>90</v>
      </c>
      <c r="B150">
        <f>SUM(E135:E144)</f>
        <v>21</v>
      </c>
    </row>
    <row r="151" spans="1:16" x14ac:dyDescent="0.3">
      <c r="D151" t="s">
        <v>70</v>
      </c>
      <c r="F151" s="4">
        <f>(1- NORMDIST(3.5,C24,F148,TRUE))*100</f>
        <v>18.748186145634605</v>
      </c>
      <c r="G151" t="s">
        <v>7</v>
      </c>
    </row>
    <row r="153" spans="1:16" x14ac:dyDescent="0.3">
      <c r="J153" t="s">
        <v>91</v>
      </c>
      <c r="K153">
        <f>SUM(N133:N142)</f>
        <v>25</v>
      </c>
    </row>
  </sheetData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 (3)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amadeo322x@outlook.com</cp:lastModifiedBy>
  <cp:revision/>
  <dcterms:created xsi:type="dcterms:W3CDTF">2025-01-20T10:39:01Z</dcterms:created>
  <dcterms:modified xsi:type="dcterms:W3CDTF">2025-12-14T23:33:18Z</dcterms:modified>
  <cp:category/>
  <cp:contentStatus/>
</cp:coreProperties>
</file>